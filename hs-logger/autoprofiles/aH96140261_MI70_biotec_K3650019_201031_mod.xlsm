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umidity\PycharmProjects\hs-logger\hs-logger\autoprofiles\"/>
    </mc:Choice>
  </mc:AlternateContent>
  <xr:revisionPtr revIDLastSave="0" documentId="13_ncr:1_{95CA36F9-883A-48F5-A2DC-FB8CA2E06E1F}" xr6:coauthVersionLast="47" xr6:coauthVersionMax="47" xr10:uidLastSave="{00000000-0000-0000-0000-000000000000}"/>
  <bookViews>
    <workbookView xWindow="13380" yWindow="0" windowWidth="15420" windowHeight="15600" xr2:uid="{27B8AC32-3C1B-40DB-9325-AAE4D3573436}"/>
  </bookViews>
  <sheets>
    <sheet name="aH96140261_MI70_biotec_K3650019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60" i="1" l="1" a="1"/>
  <c r="M59" i="1" a="1"/>
  <c r="S58" i="1" a="1"/>
  <c r="K57" i="1" a="1"/>
  <c r="Q56" i="1" a="1"/>
  <c r="J55" i="1" a="1"/>
  <c r="M51" i="1" a="1"/>
  <c r="T61" i="1" a="1"/>
  <c r="M61" i="1" a="1"/>
  <c r="S60" i="1" a="1"/>
  <c r="K59" i="1" a="1"/>
  <c r="Q58" i="1" a="1"/>
  <c r="J57" i="1" a="1"/>
  <c r="O56" i="1" a="1"/>
  <c r="T54" i="1" a="1"/>
  <c r="M53" i="1" a="1"/>
  <c r="S52" i="1" a="1"/>
  <c r="K51" i="1" a="1"/>
  <c r="K61" i="1" a="1"/>
  <c r="J59" i="1" a="1"/>
  <c r="T56" i="1" a="1"/>
  <c r="S54" i="1" a="1"/>
  <c r="Q52" i="1" a="1"/>
  <c r="M56" i="1" a="1"/>
  <c r="Q53" i="1" a="1"/>
  <c r="O51" i="1" a="1"/>
  <c r="J56" i="1" a="1"/>
  <c r="T53" i="1" a="1"/>
  <c r="S61" i="1" a="1"/>
  <c r="K60" i="1" a="1"/>
  <c r="Q59" i="1" a="1"/>
  <c r="J58" i="1" a="1"/>
  <c r="O57" i="1" a="1"/>
  <c r="T55" i="1" a="1"/>
  <c r="M54" i="1" a="1"/>
  <c r="S53" i="1" a="1"/>
  <c r="K52" i="1" a="1"/>
  <c r="Q51" i="1" a="1"/>
  <c r="Q60" i="1" a="1"/>
  <c r="O58" i="1" a="1"/>
  <c r="M55" i="1" a="1"/>
  <c r="K53" i="1" a="1"/>
  <c r="J51" i="1" a="1"/>
  <c r="O59" i="1" a="1"/>
  <c r="S55" i="1" a="1"/>
  <c r="J52" i="1" a="1"/>
  <c r="O55" i="1" a="1"/>
  <c r="S51" i="1" a="1"/>
  <c r="Q61" i="1" a="1"/>
  <c r="J60" i="1" a="1"/>
  <c r="T57" i="1" a="1"/>
  <c r="K54" i="1" a="1"/>
  <c r="M60" i="1" a="1"/>
  <c r="K58" i="1" a="1"/>
  <c r="J61" i="1" a="1"/>
  <c r="O60" i="1" a="1"/>
  <c r="T58" i="1" a="1"/>
  <c r="M57" i="1" a="1"/>
  <c r="S56" i="1" a="1"/>
  <c r="K55" i="1" a="1"/>
  <c r="Q54" i="1" a="1"/>
  <c r="J53" i="1" a="1"/>
  <c r="O52" i="1" a="1"/>
  <c r="O61" i="1" a="1"/>
  <c r="T59" i="1" a="1"/>
  <c r="M58" i="1" a="1"/>
  <c r="S57" i="1" a="1"/>
  <c r="K56" i="1" a="1"/>
  <c r="Q55" i="1" a="1"/>
  <c r="J54" i="1" a="1"/>
  <c r="O53" i="1" a="1"/>
  <c r="T51" i="1" a="1"/>
  <c r="O54" i="1" a="1"/>
  <c r="T52" i="1" a="1"/>
  <c r="S59" i="1" a="1"/>
  <c r="Q57" i="1" a="1"/>
  <c r="M52" i="1" a="1"/>
  <c r="T49" i="1" a="1"/>
  <c r="M48" i="1" a="1"/>
  <c r="S47" i="1" a="1"/>
  <c r="K46" i="1" a="1"/>
  <c r="Q45" i="1" a="1"/>
  <c r="J44" i="1" a="1"/>
  <c r="J49" i="1" a="1"/>
  <c r="S44" i="1" a="1"/>
  <c r="S46" i="1" a="1"/>
  <c r="T50" i="1" a="1"/>
  <c r="M49" i="1" a="1"/>
  <c r="S48" i="1" a="1"/>
  <c r="K47" i="1" a="1"/>
  <c r="Q46" i="1" a="1"/>
  <c r="J45" i="1" a="1"/>
  <c r="O44" i="1" a="1"/>
  <c r="T46" i="1" a="1"/>
  <c r="M47" i="1" a="1"/>
  <c r="M50" i="1" a="1"/>
  <c r="S49" i="1" a="1"/>
  <c r="K48" i="1" a="1"/>
  <c r="Q47" i="1" a="1"/>
  <c r="J46" i="1" a="1"/>
  <c r="O45" i="1" a="1"/>
  <c r="T48" i="1" a="1"/>
  <c r="S50" i="1" a="1"/>
  <c r="K49" i="1" a="1"/>
  <c r="Q48" i="1" a="1"/>
  <c r="J47" i="1" a="1"/>
  <c r="O46" i="1" a="1"/>
  <c r="T44" i="1" a="1"/>
  <c r="O48" i="1" a="1"/>
  <c r="K50" i="1" a="1"/>
  <c r="Q49" i="1" a="1"/>
  <c r="J48" i="1" a="1"/>
  <c r="O47" i="1" a="1"/>
  <c r="T45" i="1" a="1"/>
  <c r="M44" i="1" a="1"/>
  <c r="Q50" i="1" a="1"/>
  <c r="M45" i="1" a="1"/>
  <c r="K45" i="1" a="1"/>
  <c r="J50" i="1" a="1"/>
  <c r="O49" i="1" a="1"/>
  <c r="T47" i="1" a="1"/>
  <c r="M46" i="1" a="1"/>
  <c r="S45" i="1" a="1"/>
  <c r="K44" i="1" a="1"/>
  <c r="O50" i="1" a="1"/>
  <c r="Q44" i="1" a="1"/>
  <c r="K37" i="1" a="1"/>
  <c r="M52" i="1" l="1"/>
  <c r="Q57" i="1"/>
  <c r="S59" i="1"/>
  <c r="T52" i="1"/>
  <c r="O54" i="1"/>
  <c r="T51" i="1"/>
  <c r="O53" i="1"/>
  <c r="J54" i="1"/>
  <c r="Q55" i="1"/>
  <c r="K56" i="1"/>
  <c r="N56" i="1" s="1"/>
  <c r="S57" i="1"/>
  <c r="M58" i="1"/>
  <c r="T59" i="1"/>
  <c r="O61" i="1"/>
  <c r="O52" i="1"/>
  <c r="J53" i="1"/>
  <c r="Q54" i="1"/>
  <c r="K55" i="1"/>
  <c r="N55" i="1" s="1"/>
  <c r="S56" i="1"/>
  <c r="M57" i="1"/>
  <c r="T58" i="1"/>
  <c r="O60" i="1"/>
  <c r="J61" i="1"/>
  <c r="K58" i="1"/>
  <c r="N58" i="1" s="1"/>
  <c r="M60" i="1"/>
  <c r="K54" i="1"/>
  <c r="N54" i="1" s="1"/>
  <c r="T57" i="1"/>
  <c r="J60" i="1"/>
  <c r="Q61" i="1"/>
  <c r="S51" i="1"/>
  <c r="O55" i="1"/>
  <c r="J52" i="1"/>
  <c r="S55" i="1"/>
  <c r="O59" i="1"/>
  <c r="J51" i="1"/>
  <c r="K53" i="1"/>
  <c r="N53" i="1" s="1"/>
  <c r="M55" i="1"/>
  <c r="O58" i="1"/>
  <c r="Q60" i="1"/>
  <c r="Q51" i="1"/>
  <c r="K52" i="1"/>
  <c r="N52" i="1" s="1"/>
  <c r="S53" i="1"/>
  <c r="M54" i="1"/>
  <c r="T55" i="1"/>
  <c r="O57" i="1"/>
  <c r="J58" i="1"/>
  <c r="Q59" i="1"/>
  <c r="K60" i="1"/>
  <c r="N60" i="1" s="1"/>
  <c r="S61" i="1"/>
  <c r="T53" i="1"/>
  <c r="J56" i="1"/>
  <c r="O51" i="1"/>
  <c r="Q53" i="1"/>
  <c r="M56" i="1"/>
  <c r="Q52" i="1"/>
  <c r="S54" i="1"/>
  <c r="T56" i="1"/>
  <c r="J59" i="1"/>
  <c r="K61" i="1"/>
  <c r="N61" i="1" s="1"/>
  <c r="K51" i="1"/>
  <c r="N51" i="1" s="1"/>
  <c r="S52" i="1"/>
  <c r="M53" i="1"/>
  <c r="T54" i="1"/>
  <c r="O56" i="1"/>
  <c r="J57" i="1"/>
  <c r="Q58" i="1"/>
  <c r="K59" i="1"/>
  <c r="N59" i="1" s="1"/>
  <c r="S60" i="1"/>
  <c r="M61" i="1"/>
  <c r="T61" i="1"/>
  <c r="M51" i="1"/>
  <c r="J55" i="1"/>
  <c r="Q56" i="1"/>
  <c r="K57" i="1"/>
  <c r="N57" i="1" s="1"/>
  <c r="S58" i="1"/>
  <c r="M59" i="1"/>
  <c r="T60" i="1"/>
  <c r="Q44" i="1"/>
  <c r="O50" i="1"/>
  <c r="K44" i="1"/>
  <c r="N44" i="1" s="1"/>
  <c r="S45" i="1"/>
  <c r="M46" i="1"/>
  <c r="T47" i="1"/>
  <c r="O49" i="1"/>
  <c r="J50" i="1"/>
  <c r="K45" i="1"/>
  <c r="N45" i="1" s="1"/>
  <c r="M45" i="1"/>
  <c r="Q50" i="1"/>
  <c r="M44" i="1"/>
  <c r="T45" i="1"/>
  <c r="O47" i="1"/>
  <c r="J48" i="1"/>
  <c r="Q49" i="1"/>
  <c r="K50" i="1"/>
  <c r="N50" i="1" s="1"/>
  <c r="O48" i="1"/>
  <c r="T44" i="1"/>
  <c r="O46" i="1"/>
  <c r="J47" i="1"/>
  <c r="Q48" i="1"/>
  <c r="K49" i="1"/>
  <c r="N49" i="1" s="1"/>
  <c r="S50" i="1"/>
  <c r="T48" i="1"/>
  <c r="O45" i="1"/>
  <c r="J46" i="1"/>
  <c r="Q47" i="1"/>
  <c r="K48" i="1"/>
  <c r="N48" i="1" s="1"/>
  <c r="S49" i="1"/>
  <c r="M50" i="1"/>
  <c r="M47" i="1"/>
  <c r="T46" i="1"/>
  <c r="O44" i="1"/>
  <c r="J45" i="1"/>
  <c r="Q46" i="1"/>
  <c r="K47" i="1"/>
  <c r="N47" i="1" s="1"/>
  <c r="S48" i="1"/>
  <c r="M49" i="1"/>
  <c r="T50" i="1"/>
  <c r="S46" i="1"/>
  <c r="S44" i="1"/>
  <c r="J49" i="1"/>
  <c r="J44" i="1"/>
  <c r="Q45" i="1"/>
  <c r="K46" i="1"/>
  <c r="N46" i="1" s="1"/>
  <c r="S47" i="1"/>
  <c r="M48" i="1"/>
  <c r="T49" i="1"/>
  <c r="K37" i="1"/>
  <c r="M37" i="1" a="1"/>
  <c r="M37" i="1"/>
  <c r="T22" i="1" l="1" a="1"/>
  <c r="T26" i="1" a="1"/>
  <c r="T30" i="1" a="1"/>
  <c r="T34" i="1" a="1"/>
  <c r="T38" i="1" a="1"/>
  <c r="T42" i="1" a="1"/>
  <c r="T62" i="1" a="1"/>
  <c r="T66" i="1" a="1"/>
  <c r="T70" i="1" a="1"/>
  <c r="T23" i="1" a="1"/>
  <c r="T27" i="1" a="1"/>
  <c r="T31" i="1" a="1"/>
  <c r="T35" i="1" a="1"/>
  <c r="T39" i="1" a="1"/>
  <c r="T43" i="1" a="1"/>
  <c r="T63" i="1" a="1"/>
  <c r="T67" i="1" a="1"/>
  <c r="T71" i="1" a="1"/>
  <c r="T24" i="1" a="1"/>
  <c r="T28" i="1" a="1"/>
  <c r="T32" i="1" a="1"/>
  <c r="T36" i="1" a="1"/>
  <c r="T40" i="1" a="1"/>
  <c r="T64" i="1" a="1"/>
  <c r="T68" i="1" a="1"/>
  <c r="T72" i="1" a="1"/>
  <c r="T21" i="1" a="1"/>
  <c r="T25" i="1" a="1"/>
  <c r="T29" i="1" a="1"/>
  <c r="T33" i="1" a="1"/>
  <c r="T37" i="1" a="1"/>
  <c r="T41" i="1" a="1"/>
  <c r="T65" i="1" a="1"/>
  <c r="T69" i="1" a="1"/>
  <c r="T18" i="1" a="1"/>
  <c r="T19" i="1" a="1"/>
  <c r="T20" i="1" a="1"/>
  <c r="T17" i="1" a="1"/>
  <c r="T7" i="1" a="1"/>
  <c r="T15" i="1" a="1"/>
  <c r="T5" i="1" a="1"/>
  <c r="T13" i="1" a="1"/>
  <c r="T6" i="1" a="1"/>
  <c r="T14" i="1" a="1"/>
  <c r="T11" i="1" a="1"/>
  <c r="T4" i="1" a="1"/>
  <c r="T8" i="1" a="1"/>
  <c r="T12" i="1" a="1"/>
  <c r="T9" i="1" a="1"/>
  <c r="T10" i="1" a="1"/>
  <c r="T16" i="1" a="1"/>
  <c r="S6" i="1" a="1"/>
  <c r="S18" i="1" a="1"/>
  <c r="S34" i="1" a="1"/>
  <c r="S70" i="1" a="1"/>
  <c r="S71" i="1" a="1"/>
  <c r="S23" i="1" a="1"/>
  <c r="S7" i="1" a="1"/>
  <c r="S11" i="1" a="1"/>
  <c r="S15" i="1" a="1"/>
  <c r="S19" i="1" a="1"/>
  <c r="S27" i="1" a="1"/>
  <c r="S35" i="1" a="1"/>
  <c r="S67" i="1" a="1"/>
  <c r="S31" i="1" a="1"/>
  <c r="S8" i="1" a="1"/>
  <c r="S12" i="1" a="1"/>
  <c r="S16" i="1" a="1"/>
  <c r="S20" i="1" a="1"/>
  <c r="S24" i="1" a="1"/>
  <c r="S28" i="1" a="1"/>
  <c r="S32" i="1" a="1"/>
  <c r="S36" i="1" a="1"/>
  <c r="S40" i="1" a="1"/>
  <c r="S64" i="1" a="1"/>
  <c r="S68" i="1" a="1"/>
  <c r="S72" i="1" a="1"/>
  <c r="S14" i="1" a="1"/>
  <c r="S26" i="1" a="1"/>
  <c r="S42" i="1" a="1"/>
  <c r="S62" i="1" a="1"/>
  <c r="S39" i="1" a="1"/>
  <c r="S63" i="1" a="1"/>
  <c r="S38" i="1" a="1"/>
  <c r="S9" i="1" a="1"/>
  <c r="S13" i="1" a="1"/>
  <c r="S17" i="1" a="1"/>
  <c r="S21" i="1" a="1"/>
  <c r="S25" i="1" a="1"/>
  <c r="S29" i="1" a="1"/>
  <c r="S33" i="1" a="1"/>
  <c r="S37" i="1" a="1"/>
  <c r="S41" i="1" a="1"/>
  <c r="S65" i="1" a="1"/>
  <c r="S69" i="1" a="1"/>
  <c r="S10" i="1" a="1"/>
  <c r="S22" i="1" a="1"/>
  <c r="S30" i="1" a="1"/>
  <c r="S66" i="1" a="1"/>
  <c r="S43" i="1" a="1"/>
  <c r="S5" i="1" a="1"/>
  <c r="S4" i="1" a="1"/>
  <c r="Q32" i="1" a="1"/>
  <c r="Q36" i="1" a="1"/>
  <c r="Q40" i="1" a="1"/>
  <c r="Q64" i="1" a="1"/>
  <c r="Q68" i="1" a="1"/>
  <c r="Q37" i="1" a="1"/>
  <c r="Q65" i="1" a="1"/>
  <c r="Q72" i="1" a="1"/>
  <c r="Q33" i="1" a="1"/>
  <c r="Q41" i="1" a="1"/>
  <c r="Q69" i="1" a="1"/>
  <c r="Q38" i="1" a="1"/>
  <c r="Q70" i="1" a="1"/>
  <c r="Q34" i="1" a="1"/>
  <c r="Q42" i="1" a="1"/>
  <c r="Q62" i="1" a="1"/>
  <c r="Q66" i="1" a="1"/>
  <c r="Q39" i="1" a="1"/>
  <c r="Q63" i="1" a="1"/>
  <c r="Q71" i="1" a="1"/>
  <c r="Q35" i="1" a="1"/>
  <c r="Q43" i="1" a="1"/>
  <c r="Q67" i="1" a="1"/>
  <c r="Q28" i="1" a="1"/>
  <c r="Q26" i="1" a="1"/>
  <c r="Q6" i="1" a="1"/>
  <c r="Q10" i="1" a="1"/>
  <c r="Q14" i="1" a="1"/>
  <c r="Q18" i="1" a="1"/>
  <c r="Q22" i="1" a="1"/>
  <c r="Q30" i="1" a="1"/>
  <c r="Q15" i="1" a="1"/>
  <c r="Q23" i="1" a="1"/>
  <c r="Q31" i="1" a="1"/>
  <c r="Q29" i="1" a="1"/>
  <c r="Q7" i="1" a="1"/>
  <c r="Q11" i="1" a="1"/>
  <c r="Q19" i="1" a="1"/>
  <c r="Q27" i="1" a="1"/>
  <c r="Q8" i="1" a="1"/>
  <c r="Q12" i="1" a="1"/>
  <c r="Q16" i="1" a="1"/>
  <c r="Q20" i="1" a="1"/>
  <c r="Q24" i="1" a="1"/>
  <c r="Q5" i="1" a="1"/>
  <c r="Q9" i="1" a="1"/>
  <c r="Q13" i="1" a="1"/>
  <c r="Q17" i="1" a="1"/>
  <c r="Q21" i="1" a="1"/>
  <c r="Q25" i="1" a="1"/>
  <c r="Q4" i="1" a="1"/>
  <c r="AJ5" i="1" a="1"/>
  <c r="AJ7" i="1" a="1"/>
  <c r="AJ9" i="1" a="1"/>
  <c r="AJ11" i="1" a="1"/>
  <c r="AJ13" i="1" a="1"/>
  <c r="AJ15" i="1" a="1"/>
  <c r="AJ17" i="1" a="1"/>
  <c r="AI6" i="1" a="1"/>
  <c r="AI8" i="1" a="1"/>
  <c r="AI10" i="1" a="1"/>
  <c r="AI12" i="1" a="1"/>
  <c r="AI14" i="1" a="1"/>
  <c r="AI16" i="1" a="1"/>
  <c r="AJ6" i="1" a="1"/>
  <c r="AJ8" i="1" a="1"/>
  <c r="AJ10" i="1" a="1"/>
  <c r="AJ12" i="1" a="1"/>
  <c r="AJ14" i="1" a="1"/>
  <c r="AJ16" i="1" a="1"/>
  <c r="AI5" i="1" a="1"/>
  <c r="AI7" i="1" a="1"/>
  <c r="AI9" i="1" a="1"/>
  <c r="AI11" i="1" a="1"/>
  <c r="AI13" i="1" a="1"/>
  <c r="AI15" i="1" a="1"/>
  <c r="AI17" i="1" a="1"/>
  <c r="AJ4" i="1" a="1"/>
  <c r="AI4" i="1" a="1"/>
  <c r="AE5" i="1" a="1"/>
  <c r="AE7" i="1" a="1"/>
  <c r="AE9" i="1" a="1"/>
  <c r="AE13" i="1" a="1"/>
  <c r="AE17" i="1" a="1"/>
  <c r="AD6" i="1" a="1"/>
  <c r="AD8" i="1" a="1"/>
  <c r="AD10" i="1" a="1"/>
  <c r="AD12" i="1" a="1"/>
  <c r="AD14" i="1" a="1"/>
  <c r="AD16" i="1" a="1"/>
  <c r="AE8" i="1" a="1"/>
  <c r="AE12" i="1" a="1"/>
  <c r="AE16" i="1" a="1"/>
  <c r="AE6" i="1" a="1"/>
  <c r="AE10" i="1" a="1"/>
  <c r="AE14" i="1" a="1"/>
  <c r="AD5" i="1" a="1"/>
  <c r="AD7" i="1" a="1"/>
  <c r="AD9" i="1" a="1"/>
  <c r="AD11" i="1" a="1"/>
  <c r="AD13" i="1" a="1"/>
  <c r="AD15" i="1" a="1"/>
  <c r="AD17" i="1" a="1"/>
  <c r="AE11" i="1" a="1"/>
  <c r="AE15" i="1" a="1"/>
  <c r="AE4" i="1" a="1"/>
  <c r="AD4" i="1" a="1"/>
  <c r="K31" i="1" a="1"/>
  <c r="K33" i="1" a="1"/>
  <c r="K67" i="1" a="1"/>
  <c r="K38" i="1" a="1"/>
  <c r="K23" i="1" a="1"/>
  <c r="O70" i="1" a="1"/>
  <c r="M68" i="1" a="1"/>
  <c r="O42" i="1" a="1"/>
  <c r="O26" i="1" a="1"/>
  <c r="O15" i="1" a="1"/>
  <c r="O5" i="1" a="1"/>
  <c r="O32" i="1" a="1"/>
  <c r="J63" i="1" a="1"/>
  <c r="J26" i="1" a="1"/>
  <c r="J32" i="1" a="1"/>
  <c r="J15" i="1" a="1"/>
  <c r="J36" i="1" a="1"/>
  <c r="M38" i="1" a="1"/>
  <c r="M30" i="1" a="1"/>
  <c r="M29" i="1" a="1"/>
  <c r="M19" i="1" a="1"/>
  <c r="M12" i="1" a="1"/>
  <c r="K15" i="1" a="1"/>
  <c r="K19" i="1" a="1"/>
  <c r="K17" i="1" a="1"/>
  <c r="M17" i="1" a="1"/>
  <c r="K6" i="1" a="1"/>
  <c r="K21" i="1" a="1"/>
  <c r="K4" i="1" a="1"/>
  <c r="O14" i="1" a="1"/>
  <c r="J70" i="1" a="1"/>
  <c r="M31" i="1" a="1"/>
  <c r="K42" i="1" a="1"/>
  <c r="K35" i="1" a="1"/>
  <c r="O72" i="1" a="1"/>
  <c r="O67" i="1" a="1"/>
  <c r="M65" i="1" a="1"/>
  <c r="O31" i="1" a="1"/>
  <c r="O30" i="1" a="1"/>
  <c r="O19" i="1" a="1"/>
  <c r="O21" i="1" a="1"/>
  <c r="O36" i="1" a="1"/>
  <c r="J67" i="1" a="1"/>
  <c r="J62" i="1" a="1"/>
  <c r="J30" i="1" a="1"/>
  <c r="J5" i="1" a="1"/>
  <c r="J19" i="1" a="1"/>
  <c r="J9" i="1" a="1"/>
  <c r="M34" i="1" a="1"/>
  <c r="M26" i="1" a="1"/>
  <c r="M9" i="1" a="1"/>
  <c r="K8" i="1" a="1"/>
  <c r="M64" i="1" a="1"/>
  <c r="J22" i="1" a="1"/>
  <c r="M16" i="1" a="1"/>
  <c r="K24" i="1" a="1"/>
  <c r="K64" i="1" a="1"/>
  <c r="K63" i="1" a="1"/>
  <c r="K41" i="1" a="1"/>
  <c r="K39" i="1" a="1"/>
  <c r="O71" i="1" a="1"/>
  <c r="M69" i="1" a="1"/>
  <c r="O43" i="1" a="1"/>
  <c r="O34" i="1" a="1"/>
  <c r="O23" i="1" a="1"/>
  <c r="O37" i="1" a="1"/>
  <c r="O40" i="1" a="1"/>
  <c r="J71" i="1" a="1"/>
  <c r="J64" i="1" a="1"/>
  <c r="J34" i="1" a="1"/>
  <c r="J13" i="1" a="1"/>
  <c r="J23" i="1" a="1"/>
  <c r="J21" i="1" a="1"/>
  <c r="M41" i="1" a="1"/>
  <c r="M36" i="1" a="1"/>
  <c r="M23" i="1" a="1"/>
  <c r="M15" i="1" a="1"/>
  <c r="M6" i="1" a="1"/>
  <c r="K10" i="1" a="1"/>
  <c r="K12" i="1" a="1"/>
  <c r="K69" i="1" a="1"/>
  <c r="O28" i="1" a="1"/>
  <c r="J28" i="1" a="1"/>
  <c r="M4" i="1" a="1"/>
  <c r="K28" i="1" a="1"/>
  <c r="K68" i="1" a="1"/>
  <c r="K43" i="1" a="1"/>
  <c r="K27" i="1" a="1"/>
  <c r="O64" i="1" a="1"/>
  <c r="O63" i="1" a="1"/>
  <c r="M66" i="1" a="1"/>
  <c r="O29" i="1" a="1"/>
  <c r="O38" i="1" a="1"/>
  <c r="O27" i="1" a="1"/>
  <c r="O8" i="1" a="1"/>
  <c r="O9" i="1" a="1"/>
  <c r="J68" i="1" a="1"/>
  <c r="J12" i="1" a="1"/>
  <c r="J10" i="1" a="1"/>
  <c r="J17" i="1" a="1"/>
  <c r="J27" i="1" a="1"/>
  <c r="J29" i="1" a="1"/>
  <c r="M28" i="1" a="1"/>
  <c r="M24" i="1" a="1"/>
  <c r="M20" i="1" a="1"/>
  <c r="M8" i="1" a="1"/>
  <c r="K14" i="1" a="1"/>
  <c r="K16" i="1" a="1"/>
  <c r="K34" i="1" a="1"/>
  <c r="O62" i="1" a="1"/>
  <c r="M43" i="1" a="1"/>
  <c r="K13" i="1" a="1"/>
  <c r="K32" i="1" a="1"/>
  <c r="K72" i="1" a="1"/>
  <c r="K62" i="1" a="1"/>
  <c r="O68" i="1" a="1"/>
  <c r="M63" i="1" a="1"/>
  <c r="M70" i="1" a="1"/>
  <c r="O6" i="1" a="1"/>
  <c r="O35" i="1" a="1"/>
  <c r="O39" i="1" a="1"/>
  <c r="O12" i="1" a="1"/>
  <c r="O17" i="1" a="1"/>
  <c r="M62" i="1" a="1"/>
  <c r="J72" i="1" a="1"/>
  <c r="J65" i="1" a="1"/>
  <c r="J6" i="1" a="1"/>
  <c r="J31" i="1" a="1"/>
  <c r="J25" i="1" a="1"/>
  <c r="J35" i="1" a="1"/>
  <c r="M39" i="1" a="1"/>
  <c r="M33" i="1" a="1"/>
  <c r="M25" i="1" a="1"/>
  <c r="M18" i="1" a="1"/>
  <c r="M5" i="1" a="1"/>
  <c r="K18" i="1" a="1"/>
  <c r="K20" i="1" a="1"/>
  <c r="K5" i="1" a="1"/>
  <c r="M10" i="1" a="1"/>
  <c r="O66" i="1" a="1"/>
  <c r="O24" i="1" a="1"/>
  <c r="J11" i="1" a="1"/>
  <c r="M14" i="1" a="1"/>
  <c r="K36" i="1" a="1"/>
  <c r="K26" i="1" a="1"/>
  <c r="K66" i="1" a="1"/>
  <c r="O69" i="1" a="1"/>
  <c r="M67" i="1" a="1"/>
  <c r="O10" i="1" a="1"/>
  <c r="O13" i="1" a="1"/>
  <c r="O25" i="1" a="1"/>
  <c r="O16" i="1" a="1"/>
  <c r="O33" i="1" a="1"/>
  <c r="J69" i="1" a="1"/>
  <c r="J14" i="1" a="1"/>
  <c r="J8" i="1" a="1"/>
  <c r="J33" i="1" a="1"/>
  <c r="J4" i="1" a="1"/>
  <c r="M35" i="1" a="1"/>
  <c r="M21" i="1" a="1"/>
  <c r="M7" i="1" a="1"/>
  <c r="M13" i="1" a="1"/>
  <c r="K22" i="1" a="1"/>
  <c r="M11" i="1" a="1"/>
  <c r="K9" i="1" a="1"/>
  <c r="K29" i="1" a="1"/>
  <c r="M72" i="1" a="1"/>
  <c r="O11" i="1" a="1"/>
  <c r="M32" i="1" a="1"/>
  <c r="K40" i="1" a="1"/>
  <c r="K25" i="1" a="1"/>
  <c r="K65" i="1" a="1"/>
  <c r="K30" i="1" a="1"/>
  <c r="K70" i="1" a="1"/>
  <c r="K71" i="1" a="1"/>
  <c r="O65" i="1" a="1"/>
  <c r="M71" i="1" a="1"/>
  <c r="O18" i="1" a="1"/>
  <c r="O7" i="1" a="1"/>
  <c r="O41" i="1" a="1"/>
  <c r="O20" i="1" a="1"/>
  <c r="O4" i="1" a="1"/>
  <c r="J66" i="1" a="1"/>
  <c r="J18" i="1" a="1"/>
  <c r="J16" i="1" a="1"/>
  <c r="J7" i="1" a="1"/>
  <c r="J20" i="1" a="1"/>
  <c r="M40" i="1" a="1"/>
  <c r="M42" i="1" a="1"/>
  <c r="M27" i="1" a="1"/>
  <c r="M22" i="1" a="1"/>
  <c r="K7" i="1" a="1"/>
  <c r="O22" i="1" a="1"/>
  <c r="J24" i="1" a="1"/>
  <c r="K11" i="1" a="1"/>
  <c r="J40" i="1" a="1"/>
  <c r="J37" i="1" a="1"/>
  <c r="J41" i="1" a="1"/>
  <c r="J43" i="1" a="1"/>
  <c r="J42" i="1" a="1"/>
  <c r="J38" i="1" a="1"/>
  <c r="J39" i="1" a="1"/>
  <c r="N37" i="1" l="1"/>
  <c r="T69" i="1"/>
  <c r="T65" i="1"/>
  <c r="T41" i="1"/>
  <c r="T37" i="1"/>
  <c r="T33" i="1"/>
  <c r="T29" i="1"/>
  <c r="T25" i="1"/>
  <c r="T21" i="1"/>
  <c r="T72" i="1"/>
  <c r="T68" i="1"/>
  <c r="T64" i="1"/>
  <c r="T40" i="1"/>
  <c r="T36" i="1"/>
  <c r="T32" i="1"/>
  <c r="T28" i="1"/>
  <c r="T24" i="1"/>
  <c r="T71" i="1"/>
  <c r="T67" i="1"/>
  <c r="T63" i="1"/>
  <c r="T43" i="1"/>
  <c r="T39" i="1"/>
  <c r="T35" i="1"/>
  <c r="T31" i="1"/>
  <c r="T27" i="1"/>
  <c r="T23" i="1"/>
  <c r="T70" i="1"/>
  <c r="T66" i="1"/>
  <c r="T62" i="1"/>
  <c r="T42" i="1"/>
  <c r="T38" i="1"/>
  <c r="T34" i="1"/>
  <c r="T30" i="1"/>
  <c r="T26" i="1"/>
  <c r="T22" i="1"/>
  <c r="T17" i="1"/>
  <c r="T20" i="1"/>
  <c r="T19" i="1"/>
  <c r="T18" i="1"/>
  <c r="T10" i="1"/>
  <c r="T9" i="1"/>
  <c r="T12" i="1"/>
  <c r="T8" i="1"/>
  <c r="T4" i="1"/>
  <c r="T11" i="1"/>
  <c r="T14" i="1"/>
  <c r="T6" i="1"/>
  <c r="T13" i="1"/>
  <c r="T5" i="1"/>
  <c r="T15" i="1"/>
  <c r="T7" i="1"/>
  <c r="T16" i="1"/>
  <c r="S43" i="1"/>
  <c r="S66" i="1"/>
  <c r="S30" i="1"/>
  <c r="S22" i="1"/>
  <c r="S10" i="1"/>
  <c r="S69" i="1"/>
  <c r="S65" i="1"/>
  <c r="S41" i="1"/>
  <c r="S37" i="1"/>
  <c r="S33" i="1"/>
  <c r="S29" i="1"/>
  <c r="S25" i="1"/>
  <c r="S21" i="1"/>
  <c r="S17" i="1"/>
  <c r="S13" i="1"/>
  <c r="S9" i="1"/>
  <c r="S38" i="1"/>
  <c r="S63" i="1"/>
  <c r="S39" i="1"/>
  <c r="S62" i="1"/>
  <c r="S42" i="1"/>
  <c r="S26" i="1"/>
  <c r="S14" i="1"/>
  <c r="S72" i="1"/>
  <c r="S68" i="1"/>
  <c r="S64" i="1"/>
  <c r="S40" i="1"/>
  <c r="S36" i="1"/>
  <c r="S32" i="1"/>
  <c r="S28" i="1"/>
  <c r="S24" i="1"/>
  <c r="S20" i="1"/>
  <c r="S16" i="1"/>
  <c r="S12" i="1"/>
  <c r="S8" i="1"/>
  <c r="S31" i="1"/>
  <c r="S67" i="1"/>
  <c r="S35" i="1"/>
  <c r="S27" i="1"/>
  <c r="S19" i="1"/>
  <c r="S15" i="1"/>
  <c r="S11" i="1"/>
  <c r="S7" i="1"/>
  <c r="S23" i="1"/>
  <c r="S71" i="1"/>
  <c r="S70" i="1"/>
  <c r="S34" i="1"/>
  <c r="S18" i="1"/>
  <c r="S6" i="1"/>
  <c r="S5" i="1"/>
  <c r="S4" i="1"/>
  <c r="Q67" i="1"/>
  <c r="Q43" i="1"/>
  <c r="Q35" i="1"/>
  <c r="Q71" i="1"/>
  <c r="Q63" i="1"/>
  <c r="Q39" i="1"/>
  <c r="Q66" i="1"/>
  <c r="Q62" i="1"/>
  <c r="Q42" i="1"/>
  <c r="Q34" i="1"/>
  <c r="Q70" i="1"/>
  <c r="Q38" i="1"/>
  <c r="Q69" i="1"/>
  <c r="Q41" i="1"/>
  <c r="Q33" i="1"/>
  <c r="Q72" i="1"/>
  <c r="Q65" i="1"/>
  <c r="Q37" i="1"/>
  <c r="Q68" i="1"/>
  <c r="Q64" i="1"/>
  <c r="Q40" i="1"/>
  <c r="Q36" i="1"/>
  <c r="Q32" i="1"/>
  <c r="Q28" i="1"/>
  <c r="Q26" i="1"/>
  <c r="Q25" i="1"/>
  <c r="Q21" i="1"/>
  <c r="Q17" i="1"/>
  <c r="Q13" i="1"/>
  <c r="Q9" i="1"/>
  <c r="Q5" i="1"/>
  <c r="Q24" i="1"/>
  <c r="Q20" i="1"/>
  <c r="Q16" i="1"/>
  <c r="Q12" i="1"/>
  <c r="Q8" i="1"/>
  <c r="Q27" i="1"/>
  <c r="Q19" i="1"/>
  <c r="Q11" i="1"/>
  <c r="Q7" i="1"/>
  <c r="Q29" i="1"/>
  <c r="Q31" i="1"/>
  <c r="Q23" i="1"/>
  <c r="Q15" i="1"/>
  <c r="Q30" i="1"/>
  <c r="Q22" i="1"/>
  <c r="Q18" i="1"/>
  <c r="Q14" i="1"/>
  <c r="Q10" i="1"/>
  <c r="Q6" i="1"/>
  <c r="Q4" i="1"/>
  <c r="AI17" i="1"/>
  <c r="AI15" i="1"/>
  <c r="AI13" i="1"/>
  <c r="AI11" i="1"/>
  <c r="AI9" i="1"/>
  <c r="AI7" i="1"/>
  <c r="AI5" i="1"/>
  <c r="AJ16" i="1"/>
  <c r="AJ14" i="1"/>
  <c r="AJ12" i="1"/>
  <c r="AJ10" i="1"/>
  <c r="AJ8" i="1"/>
  <c r="AJ6" i="1"/>
  <c r="AI16" i="1"/>
  <c r="AI14" i="1"/>
  <c r="AI12" i="1"/>
  <c r="AI10" i="1"/>
  <c r="AI8" i="1"/>
  <c r="AI6" i="1"/>
  <c r="AJ17" i="1"/>
  <c r="AJ15" i="1"/>
  <c r="AJ13" i="1"/>
  <c r="AJ11" i="1"/>
  <c r="AJ9" i="1"/>
  <c r="AJ7" i="1"/>
  <c r="AJ5" i="1"/>
  <c r="AJ4" i="1"/>
  <c r="AI4" i="1"/>
  <c r="AE15" i="1"/>
  <c r="AE11" i="1"/>
  <c r="AD17" i="1"/>
  <c r="AD15" i="1"/>
  <c r="AD13" i="1"/>
  <c r="AD11" i="1"/>
  <c r="AD9" i="1"/>
  <c r="AD7" i="1"/>
  <c r="AD5" i="1"/>
  <c r="AE14" i="1"/>
  <c r="AE10" i="1"/>
  <c r="AE6" i="1"/>
  <c r="AE16" i="1"/>
  <c r="AE12" i="1"/>
  <c r="AE8" i="1"/>
  <c r="AD16" i="1"/>
  <c r="AD14" i="1"/>
  <c r="AD12" i="1"/>
  <c r="AD10" i="1"/>
  <c r="AD8" i="1"/>
  <c r="AD6" i="1"/>
  <c r="AE17" i="1"/>
  <c r="AE13" i="1"/>
  <c r="AE9" i="1"/>
  <c r="AE7" i="1"/>
  <c r="AE5" i="1"/>
  <c r="AE4" i="1"/>
  <c r="AD4" i="1"/>
  <c r="J39" i="1"/>
  <c r="J38" i="1"/>
  <c r="J42" i="1"/>
  <c r="J43" i="1"/>
  <c r="J41" i="1"/>
  <c r="J37" i="1"/>
  <c r="J40" i="1"/>
  <c r="K11" i="1"/>
  <c r="N11" i="1" s="1"/>
  <c r="J24" i="1"/>
  <c r="O22" i="1"/>
  <c r="K7" i="1"/>
  <c r="N7" i="1" s="1"/>
  <c r="M22" i="1"/>
  <c r="M27" i="1"/>
  <c r="M42" i="1"/>
  <c r="M40" i="1"/>
  <c r="J20" i="1"/>
  <c r="J7" i="1"/>
  <c r="J16" i="1"/>
  <c r="J18" i="1"/>
  <c r="J66" i="1"/>
  <c r="O4" i="1"/>
  <c r="O20" i="1"/>
  <c r="O41" i="1"/>
  <c r="O7" i="1"/>
  <c r="O18" i="1"/>
  <c r="M71" i="1"/>
  <c r="O65" i="1"/>
  <c r="K71" i="1"/>
  <c r="N71" i="1" s="1"/>
  <c r="K70" i="1"/>
  <c r="N70" i="1" s="1"/>
  <c r="K30" i="1"/>
  <c r="N30" i="1" s="1"/>
  <c r="K65" i="1"/>
  <c r="N65" i="1" s="1"/>
  <c r="K25" i="1"/>
  <c r="N25" i="1" s="1"/>
  <c r="K40" i="1"/>
  <c r="N40" i="1" s="1"/>
  <c r="M32" i="1"/>
  <c r="O11" i="1"/>
  <c r="M72" i="1"/>
  <c r="K29" i="1"/>
  <c r="N29" i="1" s="1"/>
  <c r="K9" i="1"/>
  <c r="N9" i="1" s="1"/>
  <c r="M11" i="1"/>
  <c r="K22" i="1"/>
  <c r="N22" i="1" s="1"/>
  <c r="M13" i="1"/>
  <c r="M7" i="1"/>
  <c r="M21" i="1"/>
  <c r="M35" i="1"/>
  <c r="J4" i="1"/>
  <c r="J33" i="1"/>
  <c r="J8" i="1"/>
  <c r="J14" i="1"/>
  <c r="J69" i="1"/>
  <c r="O33" i="1"/>
  <c r="O16" i="1"/>
  <c r="O25" i="1"/>
  <c r="O13" i="1"/>
  <c r="O10" i="1"/>
  <c r="M67" i="1"/>
  <c r="O69" i="1"/>
  <c r="K66" i="1"/>
  <c r="N66" i="1" s="1"/>
  <c r="K26" i="1"/>
  <c r="N26" i="1" s="1"/>
  <c r="K36" i="1"/>
  <c r="N36" i="1" s="1"/>
  <c r="M14" i="1"/>
  <c r="J11" i="1"/>
  <c r="O24" i="1"/>
  <c r="O66" i="1"/>
  <c r="M10" i="1"/>
  <c r="K5" i="1"/>
  <c r="N5" i="1" s="1"/>
  <c r="K20" i="1"/>
  <c r="N20" i="1" s="1"/>
  <c r="K18" i="1"/>
  <c r="N18" i="1" s="1"/>
  <c r="M5" i="1"/>
  <c r="M18" i="1"/>
  <c r="M25" i="1"/>
  <c r="M33" i="1"/>
  <c r="M39" i="1"/>
  <c r="J35" i="1"/>
  <c r="J25" i="1"/>
  <c r="J31" i="1"/>
  <c r="J6" i="1"/>
  <c r="J65" i="1"/>
  <c r="J72" i="1"/>
  <c r="M62" i="1"/>
  <c r="O17" i="1"/>
  <c r="O12" i="1"/>
  <c r="O39" i="1"/>
  <c r="O35" i="1"/>
  <c r="O6" i="1"/>
  <c r="M70" i="1"/>
  <c r="M63" i="1"/>
  <c r="O68" i="1"/>
  <c r="K62" i="1"/>
  <c r="N62" i="1" s="1"/>
  <c r="K72" i="1"/>
  <c r="N72" i="1" s="1"/>
  <c r="K32" i="1"/>
  <c r="N32" i="1" s="1"/>
  <c r="K13" i="1"/>
  <c r="N13" i="1" s="1"/>
  <c r="M43" i="1"/>
  <c r="O62" i="1"/>
  <c r="K34" i="1"/>
  <c r="N34" i="1" s="1"/>
  <c r="K16" i="1"/>
  <c r="N16" i="1" s="1"/>
  <c r="K14" i="1"/>
  <c r="N14" i="1" s="1"/>
  <c r="M8" i="1"/>
  <c r="M20" i="1"/>
  <c r="M24" i="1"/>
  <c r="M28" i="1"/>
  <c r="J29" i="1"/>
  <c r="J27" i="1"/>
  <c r="J17" i="1"/>
  <c r="J10" i="1"/>
  <c r="J12" i="1"/>
  <c r="J68" i="1"/>
  <c r="O9" i="1"/>
  <c r="O8" i="1"/>
  <c r="O27" i="1"/>
  <c r="O38" i="1"/>
  <c r="O29" i="1"/>
  <c r="M66" i="1"/>
  <c r="O63" i="1"/>
  <c r="O64" i="1"/>
  <c r="K27" i="1"/>
  <c r="N27" i="1" s="1"/>
  <c r="K43" i="1"/>
  <c r="N43" i="1" s="1"/>
  <c r="K68" i="1"/>
  <c r="N68" i="1" s="1"/>
  <c r="K28" i="1"/>
  <c r="N28" i="1" s="1"/>
  <c r="M4" i="1"/>
  <c r="J28" i="1"/>
  <c r="O28" i="1"/>
  <c r="K69" i="1"/>
  <c r="N69" i="1" s="1"/>
  <c r="K12" i="1"/>
  <c r="N12" i="1" s="1"/>
  <c r="K10" i="1"/>
  <c r="N10" i="1" s="1"/>
  <c r="M6" i="1"/>
  <c r="M15" i="1"/>
  <c r="M23" i="1"/>
  <c r="M36" i="1"/>
  <c r="M41" i="1"/>
  <c r="J21" i="1"/>
  <c r="J23" i="1"/>
  <c r="J13" i="1"/>
  <c r="J34" i="1"/>
  <c r="J64" i="1"/>
  <c r="J71" i="1"/>
  <c r="O40" i="1"/>
  <c r="O37" i="1"/>
  <c r="O23" i="1"/>
  <c r="O34" i="1"/>
  <c r="O43" i="1"/>
  <c r="M69" i="1"/>
  <c r="O71" i="1"/>
  <c r="K39" i="1"/>
  <c r="N39" i="1" s="1"/>
  <c r="K41" i="1"/>
  <c r="N41" i="1" s="1"/>
  <c r="K63" i="1"/>
  <c r="N63" i="1" s="1"/>
  <c r="K64" i="1"/>
  <c r="N64" i="1" s="1"/>
  <c r="K24" i="1"/>
  <c r="N24" i="1" s="1"/>
  <c r="M16" i="1"/>
  <c r="J22" i="1"/>
  <c r="M64" i="1"/>
  <c r="K8" i="1"/>
  <c r="N8" i="1" s="1"/>
  <c r="M9" i="1"/>
  <c r="M26" i="1"/>
  <c r="M34" i="1"/>
  <c r="J9" i="1"/>
  <c r="J19" i="1"/>
  <c r="J5" i="1"/>
  <c r="J30" i="1"/>
  <c r="J62" i="1"/>
  <c r="J67" i="1"/>
  <c r="O36" i="1"/>
  <c r="O21" i="1"/>
  <c r="O19" i="1"/>
  <c r="O30" i="1"/>
  <c r="O31" i="1"/>
  <c r="M65" i="1"/>
  <c r="O67" i="1"/>
  <c r="O72" i="1"/>
  <c r="K35" i="1"/>
  <c r="N35" i="1" s="1"/>
  <c r="K42" i="1"/>
  <c r="N42" i="1" s="1"/>
  <c r="M31" i="1"/>
  <c r="J70" i="1"/>
  <c r="O14" i="1"/>
  <c r="K4" i="1"/>
  <c r="N4" i="1" s="1"/>
  <c r="K21" i="1"/>
  <c r="N21" i="1" s="1"/>
  <c r="K6" i="1"/>
  <c r="N6" i="1" s="1"/>
  <c r="M17" i="1"/>
  <c r="K17" i="1"/>
  <c r="N17" i="1" s="1"/>
  <c r="K19" i="1"/>
  <c r="N19" i="1" s="1"/>
  <c r="K15" i="1"/>
  <c r="N15" i="1" s="1"/>
  <c r="M12" i="1"/>
  <c r="M19" i="1"/>
  <c r="M29" i="1"/>
  <c r="M30" i="1"/>
  <c r="M38" i="1"/>
  <c r="J36" i="1"/>
  <c r="J15" i="1"/>
  <c r="J32" i="1"/>
  <c r="J26" i="1"/>
  <c r="J63" i="1"/>
  <c r="O32" i="1"/>
  <c r="O5" i="1"/>
  <c r="O15" i="1"/>
  <c r="O26" i="1"/>
  <c r="O42" i="1"/>
  <c r="M68" i="1"/>
  <c r="O70" i="1"/>
  <c r="K23" i="1"/>
  <c r="N23" i="1" s="1"/>
  <c r="K38" i="1"/>
  <c r="N38" i="1" s="1"/>
  <c r="K67" i="1"/>
  <c r="N67" i="1" s="1"/>
  <c r="K33" i="1"/>
  <c r="N33" i="1" s="1"/>
  <c r="K31" i="1"/>
  <c r="N3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<sst xmlns="http://schemas.openxmlformats.org/spreadsheetml/2006/main" count="54" uniqueCount="41">
  <si>
    <t>Points</t>
  </si>
  <si>
    <t>Soak</t>
  </si>
  <si>
    <t>Assured</t>
  </si>
  <si>
    <t>t_2900</t>
  </si>
  <si>
    <t>fp_2900</t>
  </si>
  <si>
    <t>Q_2900</t>
  </si>
  <si>
    <t>HG2900.set_ts</t>
  </si>
  <si>
    <t>HG2900.set_fp</t>
  </si>
  <si>
    <t>HG2900.set_q</t>
  </si>
  <si>
    <t>T</t>
  </si>
  <si>
    <t>PC200.SS</t>
  </si>
  <si>
    <t>td_e_h_desired</t>
  </si>
  <si>
    <t>delTd</t>
  </si>
  <si>
    <t>h_ice</t>
  </si>
  <si>
    <t>h_w_desired</t>
  </si>
  <si>
    <t>h_2900_exh_extT</t>
  </si>
  <si>
    <t>aH96140261_MI70_biotec_K3650019_h_exh</t>
  </si>
  <si>
    <t>rh_2900</t>
  </si>
  <si>
    <t>HG2900.set_rh</t>
  </si>
  <si>
    <t>newT</t>
  </si>
  <si>
    <t>high RH</t>
  </si>
  <si>
    <t>new T</t>
  </si>
  <si>
    <t>newT2900</t>
  </si>
  <si>
    <t>h_w</t>
  </si>
  <si>
    <t>actual T _ext increases with increasing RH, and decreases with decreasing RH</t>
  </si>
  <si>
    <t xml:space="preserve">to assure 95 %rh is reached, increase the </t>
  </si>
  <si>
    <t>vp_w(Tc)</t>
  </si>
  <si>
    <t>vp_f(Tc)</t>
  </si>
  <si>
    <t>HG2900</t>
  </si>
  <si>
    <t>Ts</t>
  </si>
  <si>
    <t>maxTd</t>
  </si>
  <si>
    <t>minTd/f</t>
  </si>
  <si>
    <t>rh_ice</t>
  </si>
  <si>
    <t>rh_dew</t>
  </si>
  <si>
    <t>minPv</t>
  </si>
  <si>
    <t>max RHw at Tc</t>
  </si>
  <si>
    <t>td/f required</t>
  </si>
  <si>
    <t>RH_2900 req</t>
  </si>
  <si>
    <t>2nd run</t>
  </si>
  <si>
    <t xml:space="preserve"> </t>
  </si>
  <si>
    <t>first run at -20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</si>
</sst>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0" fillId="8" borderId="8" xfId="15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33A38-82E3-45DA-8B1D-CC1BDB3668DD}">
  <sheetPr codeName="Sheet1"/>
  <dimension ref="A1:AL132"/>
  <sheetViews>
    <sheetView tabSelected="1" workbookViewId="0">
      <pane ySplit="3" topLeftCell="A4" activePane="bottomLeft" state="frozen"/>
      <selection pane="bottomLeft" activeCell="G72" sqref="A1:G72"/>
    </sheetView>
  </sheetViews>
  <sheetFormatPr defaultRowHeight="15" x14ac:dyDescent="0.25"/>
  <cols>
    <col min="4" max="4" width="11.28515625" customWidth="1"/>
    <col min="5" max="5" width="9.85546875" customWidth="1"/>
    <col min="6" max="6" width="9.7109375" customWidth="1"/>
    <col min="7" max="7" width="10.7109375" customWidth="1"/>
  </cols>
  <sheetData>
    <row r="1" spans="1:38" x14ac:dyDescent="0.25">
      <c r="A1" t="s">
        <v>16</v>
      </c>
      <c r="J1" t="s">
        <v>24</v>
      </c>
      <c r="V1" t="s">
        <v>16</v>
      </c>
      <c r="AD1">
        <v>101325</v>
      </c>
      <c r="AI1">
        <v>10</v>
      </c>
      <c r="AJ1">
        <v>100</v>
      </c>
    </row>
    <row r="2" spans="1:38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9</v>
      </c>
      <c r="J2" t="s">
        <v>25</v>
      </c>
      <c r="V2" t="s">
        <v>0</v>
      </c>
      <c r="W2" t="s">
        <v>1</v>
      </c>
      <c r="X2" t="s">
        <v>2</v>
      </c>
      <c r="Y2" t="s">
        <v>3</v>
      </c>
      <c r="Z2" t="s">
        <v>17</v>
      </c>
      <c r="AA2" t="s">
        <v>5</v>
      </c>
      <c r="AB2" t="s">
        <v>9</v>
      </c>
      <c r="AH2" t="s">
        <v>28</v>
      </c>
    </row>
    <row r="3" spans="1:38" ht="30" x14ac:dyDescent="0.25">
      <c r="D3" t="s">
        <v>6</v>
      </c>
      <c r="E3" t="s">
        <v>7</v>
      </c>
      <c r="F3" t="s">
        <v>8</v>
      </c>
      <c r="G3" t="s">
        <v>10</v>
      </c>
      <c r="J3" t="s">
        <v>13</v>
      </c>
      <c r="K3" t="s">
        <v>23</v>
      </c>
      <c r="L3" t="s">
        <v>14</v>
      </c>
      <c r="M3" t="s">
        <v>11</v>
      </c>
      <c r="N3" t="s">
        <v>12</v>
      </c>
      <c r="O3" t="s">
        <v>15</v>
      </c>
      <c r="Q3" s="4" t="s">
        <v>35</v>
      </c>
      <c r="R3" t="s">
        <v>14</v>
      </c>
      <c r="S3" t="s">
        <v>36</v>
      </c>
      <c r="T3" t="s">
        <v>37</v>
      </c>
      <c r="Y3" t="s">
        <v>6</v>
      </c>
      <c r="Z3" t="s">
        <v>18</v>
      </c>
      <c r="AA3" t="s">
        <v>8</v>
      </c>
      <c r="AB3" t="s">
        <v>10</v>
      </c>
      <c r="AD3" t="s">
        <v>26</v>
      </c>
      <c r="AE3" t="s">
        <v>27</v>
      </c>
      <c r="AG3" t="s">
        <v>32</v>
      </c>
      <c r="AH3" t="s">
        <v>29</v>
      </c>
      <c r="AI3" t="s">
        <v>31</v>
      </c>
      <c r="AJ3" t="s">
        <v>30</v>
      </c>
      <c r="AK3" t="s">
        <v>34</v>
      </c>
      <c r="AL3" t="s">
        <v>33</v>
      </c>
    </row>
    <row r="4" spans="1:38" x14ac:dyDescent="0.25">
      <c r="A4">
        <v>1</v>
      </c>
      <c r="B4">
        <v>300</v>
      </c>
      <c r="C4">
        <v>0</v>
      </c>
      <c r="D4">
        <v>22</v>
      </c>
      <c r="E4">
        <v>-3.206</v>
      </c>
      <c r="F4">
        <v>20</v>
      </c>
      <c r="G4">
        <v>20</v>
      </c>
      <c r="J4" s="3" cm="1">
        <f t="array" ref="J4">h_ex_td(E4,G4,101325,101325,0,0)</f>
        <v>20.000164803434668</v>
      </c>
      <c r="K4" s="2" cm="1">
        <f t="array" ref="K4">h_ex_td(E4,G4,101325,101325,0,1)</f>
        <v>20.000164803434668</v>
      </c>
      <c r="L4">
        <v>20</v>
      </c>
      <c r="M4" s="1" cm="1">
        <f t="array" ref="M4">td_ex_h(L4,G4,101325,101325,1,0)</f>
        <v>-3.2060976975975688</v>
      </c>
      <c r="N4" s="3">
        <f>K4-L4</f>
        <v>1.6480343466795944E-4</v>
      </c>
      <c r="O4" s="2" cm="1">
        <f t="array" ref="O4">h2exh1(L4,G4,D4,101325,101325,1)</f>
        <v>17.685424910133076</v>
      </c>
      <c r="P4">
        <v>1</v>
      </c>
      <c r="Q4" s="3" cm="1">
        <f t="array" ref="Q4">ROUND((vapourpress(G4,0)*ef(G4,101325,0))/(vapourpress(G4,1)*ef(G4,101325,1))*100,3)</f>
        <v>100</v>
      </c>
      <c r="R4">
        <v>20</v>
      </c>
      <c r="S4" s="2" cm="1">
        <f t="array" ref="S4">td_ex_h(L4,G4,101325,101325,1,0)</f>
        <v>-3.2060976975975688</v>
      </c>
      <c r="T4" cm="1">
        <f t="array" ref="T4">h2exh1(R4,G4,D4,101325,101325,1)</f>
        <v>17.685424910133076</v>
      </c>
      <c r="V4">
        <v>1</v>
      </c>
      <c r="W4">
        <v>300</v>
      </c>
      <c r="X4">
        <v>0</v>
      </c>
      <c r="Y4">
        <v>22</v>
      </c>
      <c r="Z4" s="1">
        <v>17.685424910133076</v>
      </c>
      <c r="AA4">
        <v>20</v>
      </c>
      <c r="AB4">
        <v>20</v>
      </c>
      <c r="AD4" cm="1">
        <f t="array" ref="AD4">vapourpress($G4,1)*ef($G4,AD$1,1)</f>
        <v>2348.52717778632</v>
      </c>
      <c r="AE4" cm="1">
        <f t="array" ref="AE4">vapourpress($G4,1)*ef($G4,AE$1,1)</f>
        <v>2339.1937366227544</v>
      </c>
      <c r="AH4">
        <v>-10</v>
      </c>
      <c r="AI4" s="1" cm="1">
        <f t="array" ref="AI4" xml:space="preserve"> td_ex_h(AI$1,$AH4,101325,101325,0,0)</f>
        <v>-33.605586898908811</v>
      </c>
      <c r="AJ4" s="1" cm="1">
        <f t="array" ref="AJ4" xml:space="preserve"> td_ex_h(AJ$1,$AH4,101325,101325,0,0)</f>
        <v>-9.9999999562657944</v>
      </c>
    </row>
    <row r="5" spans="1:38" x14ac:dyDescent="0.25">
      <c r="A5">
        <v>2</v>
      </c>
      <c r="B5">
        <v>80</v>
      </c>
      <c r="C5">
        <v>0</v>
      </c>
      <c r="D5">
        <v>22</v>
      </c>
      <c r="E5">
        <v>4.093</v>
      </c>
      <c r="F5">
        <v>20</v>
      </c>
      <c r="G5">
        <v>20</v>
      </c>
      <c r="J5" s="3" cm="1">
        <f t="array" ref="J5">h_ex_td(E5,G5,101325,101325,0,0)</f>
        <v>35.000630703949341</v>
      </c>
      <c r="K5" s="2" cm="1">
        <f t="array" ref="K5">h_ex_td(E5,G5,101325,101325,0,1)</f>
        <v>35.000630703949341</v>
      </c>
      <c r="L5">
        <v>35</v>
      </c>
      <c r="M5" s="1" cm="1">
        <f t="array" ref="M5">td_ex_h(L5,G5,101325,101325,1,0)</f>
        <v>4.0927435468451794</v>
      </c>
      <c r="N5" s="3">
        <f t="shared" ref="N5:N73" si="0">K5-L5</f>
        <v>6.3070394934072738E-4</v>
      </c>
      <c r="O5" s="2" cm="1">
        <f t="array" ref="O5">h2exh1(L5,G5,D5,101325,101325,1)</f>
        <v>30.949493592732885</v>
      </c>
      <c r="P5">
        <v>1</v>
      </c>
      <c r="Q5" s="3" cm="1">
        <f t="array" ref="Q5">ROUND((vapourpress(G5,0)*ef(G5,101325,0))/(vapourpress(G5,1)*ef(G5,101325,1))*100,3)</f>
        <v>100</v>
      </c>
      <c r="R5">
        <v>35</v>
      </c>
      <c r="S5" s="2" cm="1">
        <f t="array" ref="S5">td_ex_h(L5,G5,101325,101325,1,0)</f>
        <v>4.0927435468451794</v>
      </c>
      <c r="T5" cm="1">
        <f t="array" ref="T5">h2exh1(R5,G5,D5,101325,101325,1)</f>
        <v>30.949493592732885</v>
      </c>
      <c r="V5">
        <v>2</v>
      </c>
      <c r="W5">
        <v>80</v>
      </c>
      <c r="X5">
        <v>0</v>
      </c>
      <c r="Y5">
        <v>22</v>
      </c>
      <c r="Z5" s="1">
        <v>30.949493592732885</v>
      </c>
      <c r="AA5">
        <v>20</v>
      </c>
      <c r="AB5">
        <v>20</v>
      </c>
      <c r="AD5" cm="1">
        <f t="array" ref="AD5">vapourpress($G5,1)*ef($G5,AD$1,1)</f>
        <v>2348.52717778632</v>
      </c>
      <c r="AE5" cm="1">
        <f t="array" ref="AE5">vapourpress($G5,1)*ef($G5,AE$1,1)</f>
        <v>2339.1937366227544</v>
      </c>
      <c r="AG5">
        <v>10</v>
      </c>
      <c r="AH5">
        <v>-9</v>
      </c>
      <c r="AI5" s="1" cm="1">
        <f t="array" ref="AI5" xml:space="preserve"> td_ex_h(AI$1,$AH5,101325,101325,0,0)</f>
        <v>-32.777435261284801</v>
      </c>
      <c r="AJ5" s="1" cm="1">
        <f t="array" ref="AJ5" xml:space="preserve"> td_ex_h(AJ$1,$AH5,101325,101325,0,0)</f>
        <v>-8.9999999782242099</v>
      </c>
    </row>
    <row r="6" spans="1:38" x14ac:dyDescent="0.25">
      <c r="A6">
        <v>3</v>
      </c>
      <c r="B6">
        <v>80</v>
      </c>
      <c r="C6">
        <v>0</v>
      </c>
      <c r="D6">
        <v>22</v>
      </c>
      <c r="E6">
        <v>9.2750000000000004</v>
      </c>
      <c r="F6">
        <v>20</v>
      </c>
      <c r="G6">
        <v>20</v>
      </c>
      <c r="J6" s="3" cm="1">
        <f t="array" ref="J6">h_ex_td(E6,G6,101325,101325,0,0)</f>
        <v>49.998341835079607</v>
      </c>
      <c r="K6" s="2" cm="1">
        <f t="array" ref="K6">h_ex_td(E6,G6,101325,101325,0,1)</f>
        <v>49.998341835079607</v>
      </c>
      <c r="L6">
        <v>50</v>
      </c>
      <c r="M6" s="1" cm="1">
        <f t="array" ref="M6">td_ex_h(L6,G6,101325,101325,1,0)</f>
        <v>9.2754920374502525</v>
      </c>
      <c r="N6" s="3">
        <f t="shared" si="0"/>
        <v>-1.658164920392835E-3</v>
      </c>
      <c r="O6" s="2" cm="1">
        <f t="array" ref="O6">h2exh1(L6,G6,D6,101325,101325,1)</f>
        <v>44.213562275332691</v>
      </c>
      <c r="P6">
        <v>1</v>
      </c>
      <c r="Q6" s="3" cm="1">
        <f t="array" ref="Q6">ROUND((vapourpress(G6,0)*ef(G6,101325,0))/(vapourpress(G6,1)*ef(G6,101325,1))*100,3)</f>
        <v>100</v>
      </c>
      <c r="R6">
        <v>50</v>
      </c>
      <c r="S6" s="2" cm="1">
        <f t="array" ref="S6">td_ex_h(L6,G6,101325,101325,1,0)</f>
        <v>9.2754920374502525</v>
      </c>
      <c r="T6" cm="1">
        <f t="array" ref="T6">h2exh1(R6,G6,D6,101325,101325,1)</f>
        <v>44.213562275332691</v>
      </c>
      <c r="V6">
        <v>3</v>
      </c>
      <c r="W6">
        <v>80</v>
      </c>
      <c r="X6">
        <v>0</v>
      </c>
      <c r="Y6">
        <v>22</v>
      </c>
      <c r="Z6" s="1">
        <v>44.213562275332691</v>
      </c>
      <c r="AA6">
        <v>20</v>
      </c>
      <c r="AB6">
        <v>20</v>
      </c>
      <c r="AD6" cm="1">
        <f t="array" ref="AD6">vapourpress($G6,1)*ef($G6,AD$1,1)</f>
        <v>2348.52717778632</v>
      </c>
      <c r="AE6" cm="1">
        <f t="array" ref="AE6">vapourpress($G6,1)*ef($G6,AE$1,1)</f>
        <v>2339.1937366227544</v>
      </c>
      <c r="AH6">
        <v>-8</v>
      </c>
      <c r="AI6" s="1" cm="1">
        <f t="array" ref="AI6" xml:space="preserve"> td_ex_h(AI$1,$AH6,101325,101325,0,0)</f>
        <v>-31.949882817069064</v>
      </c>
      <c r="AJ6" s="1" cm="1">
        <f t="array" ref="AJ6" xml:space="preserve"> td_ex_h(AJ$1,$AH6,101325,101325,0,0)</f>
        <v>-7.9999999937624917</v>
      </c>
    </row>
    <row r="7" spans="1:38" x14ac:dyDescent="0.25">
      <c r="A7">
        <v>4</v>
      </c>
      <c r="B7">
        <v>80</v>
      </c>
      <c r="C7">
        <v>0</v>
      </c>
      <c r="D7">
        <v>22</v>
      </c>
      <c r="E7">
        <v>13.228999999999999</v>
      </c>
      <c r="F7">
        <v>20</v>
      </c>
      <c r="G7">
        <v>20</v>
      </c>
      <c r="J7" s="3" cm="1">
        <f t="array" ref="J7">h_ex_td(E7,G7,101325,101325,0,0)</f>
        <v>64.998061728021867</v>
      </c>
      <c r="K7" s="2" cm="1">
        <f t="array" ref="K7">h_ex_td(E7,G7,101325,101325,0,1)</f>
        <v>64.998061728021867</v>
      </c>
      <c r="L7">
        <v>65</v>
      </c>
      <c r="M7" s="1" cm="1">
        <f t="array" ref="M7">td_ex_h(L7,G7,101325,101325,1,0)</f>
        <v>13.229456495261477</v>
      </c>
      <c r="N7" s="3">
        <f t="shared" si="0"/>
        <v>-1.9382719781333435E-3</v>
      </c>
      <c r="O7" s="2" cm="1">
        <f t="array" ref="O7">h2exh1(L7,G7,D7,101325,101325,1)</f>
        <v>57.477630957932504</v>
      </c>
      <c r="P7">
        <v>1</v>
      </c>
      <c r="Q7" s="3" cm="1">
        <f t="array" ref="Q7">ROUND((vapourpress(G7,0)*ef(G7,101325,0))/(vapourpress(G7,1)*ef(G7,101325,1))*100,3)</f>
        <v>100</v>
      </c>
      <c r="R7">
        <v>65</v>
      </c>
      <c r="S7" s="2" cm="1">
        <f t="array" ref="S7">td_ex_h(L7,G7,101325,101325,1,0)</f>
        <v>13.229456495261477</v>
      </c>
      <c r="T7" cm="1">
        <f t="array" ref="T7">h2exh1(R7,G7,D7,101325,101325,1)</f>
        <v>57.477630957932504</v>
      </c>
      <c r="V7">
        <v>4</v>
      </c>
      <c r="W7">
        <v>80</v>
      </c>
      <c r="X7">
        <v>0</v>
      </c>
      <c r="Y7">
        <v>22</v>
      </c>
      <c r="Z7" s="1">
        <v>57.477630957932504</v>
      </c>
      <c r="AA7">
        <v>20</v>
      </c>
      <c r="AB7">
        <v>20</v>
      </c>
      <c r="AD7" cm="1">
        <f t="array" ref="AD7">vapourpress($G7,1)*ef($G7,AD$1,1)</f>
        <v>2348.52717778632</v>
      </c>
      <c r="AE7" cm="1">
        <f t="array" ref="AE7">vapourpress($G7,1)*ef($G7,AE$1,1)</f>
        <v>2339.1937366227544</v>
      </c>
      <c r="AH7">
        <v>-7</v>
      </c>
      <c r="AI7" s="1" cm="1">
        <f t="array" ref="AI7" xml:space="preserve"> td_ex_h(AI$1,$AH7,101325,101325,0,0)</f>
        <v>-31.122929484533454</v>
      </c>
      <c r="AJ7" s="1" cm="1">
        <f t="array" ref="AJ7" xml:space="preserve"> td_ex_h(AJ$1,$AH7,101325,101325,0,0)</f>
        <v>-6.9999999999999876</v>
      </c>
    </row>
    <row r="8" spans="1:38" x14ac:dyDescent="0.25">
      <c r="A8">
        <v>5</v>
      </c>
      <c r="B8">
        <v>80</v>
      </c>
      <c r="C8">
        <v>0</v>
      </c>
      <c r="D8">
        <v>22</v>
      </c>
      <c r="E8">
        <v>16.448</v>
      </c>
      <c r="F8">
        <v>20</v>
      </c>
      <c r="G8">
        <v>20</v>
      </c>
      <c r="J8" s="3" cm="1">
        <f t="array" ref="J8">h_ex_td(E8,G8,101325,101325,0,0)</f>
        <v>79.998146269367993</v>
      </c>
      <c r="K8" s="2" cm="1">
        <f t="array" ref="K8">h_ex_td(E8,G8,101325,101325,0,1)</f>
        <v>79.998146269367993</v>
      </c>
      <c r="L8">
        <v>80</v>
      </c>
      <c r="M8" s="1" cm="1">
        <f t="array" ref="M8">td_ex_h(L8,G8,101325,101325,1,0)</f>
        <v>16.448363775850655</v>
      </c>
      <c r="N8" s="3">
        <f t="shared" si="0"/>
        <v>-1.8537306320070002E-3</v>
      </c>
      <c r="O8" s="2" cm="1">
        <f t="array" ref="O8">h2exh1(L8,G8,D8,101325,101325,1)</f>
        <v>70.741699640532303</v>
      </c>
      <c r="P8">
        <v>1</v>
      </c>
      <c r="Q8" s="3" cm="1">
        <f t="array" ref="Q8">ROUND((vapourpress(G8,0)*ef(G8,101325,0))/(vapourpress(G8,1)*ef(G8,101325,1))*100,3)</f>
        <v>100</v>
      </c>
      <c r="R8">
        <v>80</v>
      </c>
      <c r="S8" s="2" cm="1">
        <f t="array" ref="S8">td_ex_h(L8,G8,101325,101325,1,0)</f>
        <v>16.448363775850655</v>
      </c>
      <c r="T8" cm="1">
        <f t="array" ref="T8">h2exh1(R8,G8,D8,101325,101325,1)</f>
        <v>70.741699640532303</v>
      </c>
      <c r="V8">
        <v>5</v>
      </c>
      <c r="W8">
        <v>80</v>
      </c>
      <c r="X8">
        <v>0</v>
      </c>
      <c r="Y8">
        <v>22</v>
      </c>
      <c r="Z8" s="1">
        <v>70.741699640532303</v>
      </c>
      <c r="AA8">
        <v>20</v>
      </c>
      <c r="AB8">
        <v>20</v>
      </c>
      <c r="AD8" cm="1">
        <f t="array" ref="AD8">vapourpress($G8,1)*ef($G8,AD$1,1)</f>
        <v>2348.52717778632</v>
      </c>
      <c r="AE8" cm="1">
        <f t="array" ref="AE8">vapourpress($G8,1)*ef($G8,AE$1,1)</f>
        <v>2339.1937366227544</v>
      </c>
      <c r="AH8">
        <v>-6</v>
      </c>
      <c r="AI8" s="1" cm="1">
        <f t="array" ref="AI8" xml:space="preserve"> td_ex_h(AI$1,$AH8,101325,101325,0,0)</f>
        <v>-30.296575185441238</v>
      </c>
      <c r="AJ8" s="1" cm="1">
        <f t="array" ref="AJ8" xml:space="preserve"> td_ex_h(AJ$1,$AH8,101325,101325,0,0)</f>
        <v>-6.0000000000000044</v>
      </c>
    </row>
    <row r="9" spans="1:38" x14ac:dyDescent="0.25">
      <c r="A9">
        <v>6</v>
      </c>
      <c r="B9">
        <v>90</v>
      </c>
      <c r="C9">
        <v>0</v>
      </c>
      <c r="D9">
        <v>22</v>
      </c>
      <c r="E9">
        <v>19.175000000000001</v>
      </c>
      <c r="F9">
        <v>10</v>
      </c>
      <c r="G9">
        <v>20</v>
      </c>
      <c r="J9" s="3" cm="1">
        <f t="array" ref="J9">h_ex_td(E9,G9,101325,101325,0,0)</f>
        <v>95.000510362603052</v>
      </c>
      <c r="K9" s="2" cm="1">
        <f t="array" ref="K9">h_ex_td(E9,G9,101325,101325,0,1)</f>
        <v>95.000510362603052</v>
      </c>
      <c r="L9">
        <v>95</v>
      </c>
      <c r="M9" s="1" cm="1">
        <f t="array" ref="M9">td_ex_h(L9,G9,101325,101325,1,0)</f>
        <v>19.174913858724395</v>
      </c>
      <c r="N9" s="3">
        <f t="shared" si="0"/>
        <v>5.1036260305181713E-4</v>
      </c>
      <c r="O9" s="2" cm="1">
        <f t="array" ref="O9">h2exh1(L9,G9,D9,101325,101325,1)</f>
        <v>84.005768323132116</v>
      </c>
      <c r="P9">
        <v>1</v>
      </c>
      <c r="Q9" s="3" cm="1">
        <f t="array" ref="Q9">ROUND((vapourpress(G9,0)*ef(G9,101325,0))/(vapourpress(G9,1)*ef(G9,101325,1))*100,3)</f>
        <v>100</v>
      </c>
      <c r="R9">
        <v>95</v>
      </c>
      <c r="S9" s="2" cm="1">
        <f t="array" ref="S9">td_ex_h(L9,G9,101325,101325,1,0)</f>
        <v>19.174913858724395</v>
      </c>
      <c r="T9" cm="1">
        <f t="array" ref="T9">h2exh1(R9,G9,D9,101325,101325,1)</f>
        <v>84.005768323132116</v>
      </c>
      <c r="V9">
        <v>6</v>
      </c>
      <c r="W9">
        <v>90</v>
      </c>
      <c r="X9">
        <v>0</v>
      </c>
      <c r="Y9">
        <v>22</v>
      </c>
      <c r="Z9" s="1">
        <v>84.005768323132116</v>
      </c>
      <c r="AA9">
        <v>10</v>
      </c>
      <c r="AB9">
        <v>20</v>
      </c>
      <c r="AD9" cm="1">
        <f t="array" ref="AD9">vapourpress($G9,1)*ef($G9,AD$1,1)</f>
        <v>2348.52717778632</v>
      </c>
      <c r="AE9" cm="1">
        <f t="array" ref="AE9">vapourpress($G9,1)*ef($G9,AE$1,1)</f>
        <v>2339.1937366227544</v>
      </c>
      <c r="AH9">
        <v>-5</v>
      </c>
      <c r="AI9" s="1" cm="1">
        <f t="array" ref="AI9" xml:space="preserve"> td_ex_h(AI$1,$AH9,101325,101325,0,0)</f>
        <v>-29.470819845214443</v>
      </c>
      <c r="AJ9" s="1" cm="1">
        <f t="array" ref="AJ9" xml:space="preserve"> td_ex_h(AJ$1,$AH9,101325,101325,0,0)</f>
        <v>-5.0000000000000053</v>
      </c>
    </row>
    <row r="10" spans="1:38" x14ac:dyDescent="0.25">
      <c r="A10">
        <v>7</v>
      </c>
      <c r="B10">
        <v>80</v>
      </c>
      <c r="C10">
        <v>0</v>
      </c>
      <c r="D10">
        <v>22</v>
      </c>
      <c r="E10">
        <v>16.448</v>
      </c>
      <c r="F10">
        <v>20</v>
      </c>
      <c r="G10">
        <v>20</v>
      </c>
      <c r="J10" s="3" cm="1">
        <f t="array" ref="J10">h_ex_td(E10,G10,101325,101325,0,0)</f>
        <v>79.998146269367993</v>
      </c>
      <c r="K10" s="2" cm="1">
        <f t="array" ref="K10">h_ex_td(E10,G10,101325,101325,0,1)</f>
        <v>79.998146269367993</v>
      </c>
      <c r="L10">
        <v>80</v>
      </c>
      <c r="M10" s="1" cm="1">
        <f t="array" ref="M10">td_ex_h(L10,G10,101325,101325,1,0)</f>
        <v>16.448363775850655</v>
      </c>
      <c r="N10" s="3">
        <f t="shared" si="0"/>
        <v>-1.8537306320070002E-3</v>
      </c>
      <c r="O10" s="2" cm="1">
        <f t="array" ref="O10">h2exh1(L10,G10,D10,101325,101325,1)</f>
        <v>70.741699640532303</v>
      </c>
      <c r="P10">
        <v>1</v>
      </c>
      <c r="Q10" s="3" cm="1">
        <f t="array" ref="Q10">ROUND((vapourpress(G10,0)*ef(G10,101325,0))/(vapourpress(G10,1)*ef(G10,101325,1))*100,3)</f>
        <v>100</v>
      </c>
      <c r="R10">
        <v>80</v>
      </c>
      <c r="S10" s="2" cm="1">
        <f t="array" ref="S10">td_ex_h(L10,G10,101325,101325,1,0)</f>
        <v>16.448363775850655</v>
      </c>
      <c r="T10" cm="1">
        <f t="array" ref="T10">h2exh1(R10,G10,D10,101325,101325,1)</f>
        <v>70.741699640532303</v>
      </c>
      <c r="V10">
        <v>7</v>
      </c>
      <c r="W10">
        <v>80</v>
      </c>
      <c r="X10">
        <v>0</v>
      </c>
      <c r="Y10">
        <v>22</v>
      </c>
      <c r="Z10" s="1">
        <v>70.741699640532303</v>
      </c>
      <c r="AA10">
        <v>20</v>
      </c>
      <c r="AB10">
        <v>20</v>
      </c>
      <c r="AD10" cm="1">
        <f t="array" ref="AD10">vapourpress($G10,1)*ef($G10,AD$1,1)</f>
        <v>2348.52717778632</v>
      </c>
      <c r="AE10" cm="1">
        <f t="array" ref="AE10">vapourpress($G10,1)*ef($G10,AE$1,1)</f>
        <v>2339.1937366227544</v>
      </c>
      <c r="AH10">
        <v>-4</v>
      </c>
      <c r="AI10" s="1" cm="1">
        <f t="array" ref="AI10" xml:space="preserve"> td_ex_h(AI$1,$AH10,101325,101325,0,0)</f>
        <v>-28.645663393141625</v>
      </c>
      <c r="AJ10" s="1" cm="1">
        <f t="array" ref="AJ10" xml:space="preserve"> td_ex_h(AJ$1,$AH10,101325,101325,0,0)</f>
        <v>-3.9999999999999982</v>
      </c>
    </row>
    <row r="11" spans="1:38" x14ac:dyDescent="0.25">
      <c r="A11">
        <v>8</v>
      </c>
      <c r="B11">
        <v>80</v>
      </c>
      <c r="C11">
        <v>0</v>
      </c>
      <c r="D11">
        <v>22</v>
      </c>
      <c r="E11">
        <v>13.228999999999999</v>
      </c>
      <c r="F11">
        <v>20</v>
      </c>
      <c r="G11">
        <v>20</v>
      </c>
      <c r="J11" s="3" cm="1">
        <f t="array" ref="J11">h_ex_td(E11,G11,101325,101325,0,0)</f>
        <v>64.998061728021867</v>
      </c>
      <c r="K11" s="2" cm="1">
        <f t="array" ref="K11">h_ex_td(E11,G11,101325,101325,0,1)</f>
        <v>64.998061728021867</v>
      </c>
      <c r="L11">
        <v>65</v>
      </c>
      <c r="M11" s="1" cm="1">
        <f t="array" ref="M11">td_ex_h(L11,G11,101325,101325,1,0)</f>
        <v>13.229456495261477</v>
      </c>
      <c r="N11" s="3">
        <f t="shared" si="0"/>
        <v>-1.9382719781333435E-3</v>
      </c>
      <c r="O11" s="2" cm="1">
        <f t="array" ref="O11">h2exh1(L11,G11,D11,101325,101325,1)</f>
        <v>57.477630957932504</v>
      </c>
      <c r="P11">
        <v>1</v>
      </c>
      <c r="Q11" s="3" cm="1">
        <f t="array" ref="Q11">ROUND((vapourpress(G11,0)*ef(G11,101325,0))/(vapourpress(G11,1)*ef(G11,101325,1))*100,3)</f>
        <v>100</v>
      </c>
      <c r="R11">
        <v>65</v>
      </c>
      <c r="S11" s="2" cm="1">
        <f t="array" ref="S11">td_ex_h(L11,G11,101325,101325,1,0)</f>
        <v>13.229456495261477</v>
      </c>
      <c r="T11" cm="1">
        <f t="array" ref="T11">h2exh1(R11,G11,D11,101325,101325,1)</f>
        <v>57.477630957932504</v>
      </c>
      <c r="V11">
        <v>8</v>
      </c>
      <c r="W11">
        <v>80</v>
      </c>
      <c r="X11">
        <v>0</v>
      </c>
      <c r="Y11">
        <v>22</v>
      </c>
      <c r="Z11" s="1">
        <v>57.477630957932504</v>
      </c>
      <c r="AA11">
        <v>20</v>
      </c>
      <c r="AB11">
        <v>20</v>
      </c>
      <c r="AD11" cm="1">
        <f t="array" ref="AD11">vapourpress($G11,1)*ef($G11,AD$1,1)</f>
        <v>2348.52717778632</v>
      </c>
      <c r="AE11" cm="1">
        <f t="array" ref="AE11">vapourpress($G11,1)*ef($G11,AE$1,1)</f>
        <v>2339.1937366227544</v>
      </c>
      <c r="AH11">
        <v>-3</v>
      </c>
      <c r="AI11" s="1" cm="1">
        <f t="array" ref="AI11" xml:space="preserve"> td_ex_h(AI$1,$AH11,101325,101325,0,0)</f>
        <v>-27.821105762630008</v>
      </c>
      <c r="AJ11" s="1" cm="1">
        <f t="array" ref="AJ11" xml:space="preserve"> td_ex_h(AJ$1,$AH11,101325,101325,0,0)</f>
        <v>-2.9999999999999778</v>
      </c>
    </row>
    <row r="12" spans="1:38" x14ac:dyDescent="0.25">
      <c r="A12">
        <v>9</v>
      </c>
      <c r="B12">
        <v>80</v>
      </c>
      <c r="C12">
        <v>0</v>
      </c>
      <c r="D12">
        <v>22</v>
      </c>
      <c r="E12">
        <v>9.2750000000000004</v>
      </c>
      <c r="F12">
        <v>20</v>
      </c>
      <c r="G12">
        <v>20</v>
      </c>
      <c r="J12" s="3" cm="1">
        <f t="array" ref="J12">h_ex_td(E12,G12,101325,101325,0,0)</f>
        <v>49.998341835079607</v>
      </c>
      <c r="K12" s="2" cm="1">
        <f t="array" ref="K12">h_ex_td(E12,G12,101325,101325,0,1)</f>
        <v>49.998341835079607</v>
      </c>
      <c r="L12">
        <v>50</v>
      </c>
      <c r="M12" s="1" cm="1">
        <f t="array" ref="M12">td_ex_h(L12,G12,101325,101325,1,0)</f>
        <v>9.2754920374502525</v>
      </c>
      <c r="N12" s="3">
        <f t="shared" si="0"/>
        <v>-1.658164920392835E-3</v>
      </c>
      <c r="O12" s="2" cm="1">
        <f t="array" ref="O12">h2exh1(L12,G12,D12,101325,101325,1)</f>
        <v>44.213562275332691</v>
      </c>
      <c r="P12">
        <v>1</v>
      </c>
      <c r="Q12" s="3" cm="1">
        <f t="array" ref="Q12">ROUND((vapourpress(G12,0)*ef(G12,101325,0))/(vapourpress(G12,1)*ef(G12,101325,1))*100,3)</f>
        <v>100</v>
      </c>
      <c r="R12">
        <v>50</v>
      </c>
      <c r="S12" s="2" cm="1">
        <f t="array" ref="S12">td_ex_h(L12,G12,101325,101325,1,0)</f>
        <v>9.2754920374502525</v>
      </c>
      <c r="T12" cm="1">
        <f t="array" ref="T12">h2exh1(R12,G12,D12,101325,101325,1)</f>
        <v>44.213562275332691</v>
      </c>
      <c r="V12">
        <v>9</v>
      </c>
      <c r="W12">
        <v>80</v>
      </c>
      <c r="X12">
        <v>0</v>
      </c>
      <c r="Y12">
        <v>22</v>
      </c>
      <c r="Z12" s="1">
        <v>44.213562275332691</v>
      </c>
      <c r="AA12">
        <v>20</v>
      </c>
      <c r="AB12">
        <v>20</v>
      </c>
      <c r="AD12" cm="1">
        <f t="array" ref="AD12">vapourpress($G12,1)*ef($G12,AD$1,1)</f>
        <v>2348.52717778632</v>
      </c>
      <c r="AE12" cm="1">
        <f t="array" ref="AE12">vapourpress($G12,1)*ef($G12,AE$1,1)</f>
        <v>2339.1937366227544</v>
      </c>
      <c r="AH12">
        <v>-2</v>
      </c>
      <c r="AI12" s="1" cm="1">
        <f t="array" ref="AI12" xml:space="preserve"> td_ex_h(AI$1,$AH12,101325,101325,0,0)</f>
        <v>-26.997146891506642</v>
      </c>
      <c r="AJ12" s="1" cm="1">
        <f t="array" ref="AJ12" xml:space="preserve"> td_ex_h(AJ$1,$AH12,101325,101325,0,0)</f>
        <v>-2.0000000000000644</v>
      </c>
    </row>
    <row r="13" spans="1:38" x14ac:dyDescent="0.25">
      <c r="A13">
        <v>10</v>
      </c>
      <c r="B13">
        <v>80</v>
      </c>
      <c r="C13">
        <v>0</v>
      </c>
      <c r="D13">
        <v>22</v>
      </c>
      <c r="E13">
        <v>4.093</v>
      </c>
      <c r="F13">
        <v>20</v>
      </c>
      <c r="G13">
        <v>20</v>
      </c>
      <c r="J13" s="3" cm="1">
        <f t="array" ref="J13">h_ex_td(E13,G13,101325,101325,0,0)</f>
        <v>35.000630703949341</v>
      </c>
      <c r="K13" s="2" cm="1">
        <f t="array" ref="K13">h_ex_td(E13,G13,101325,101325,0,1)</f>
        <v>35.000630703949341</v>
      </c>
      <c r="L13">
        <v>35</v>
      </c>
      <c r="M13" s="1" cm="1">
        <f t="array" ref="M13">td_ex_h(L13,G13,101325,101325,1,0)</f>
        <v>4.0927435468451794</v>
      </c>
      <c r="N13" s="3">
        <f t="shared" si="0"/>
        <v>6.3070394934072738E-4</v>
      </c>
      <c r="O13" s="2" cm="1">
        <f t="array" ref="O13">h2exh1(L13,G13,D13,101325,101325,1)</f>
        <v>30.949493592732885</v>
      </c>
      <c r="P13">
        <v>1</v>
      </c>
      <c r="Q13" s="3" cm="1">
        <f t="array" ref="Q13">ROUND((vapourpress(G13,0)*ef(G13,101325,0))/(vapourpress(G13,1)*ef(G13,101325,1))*100,3)</f>
        <v>100</v>
      </c>
      <c r="R13">
        <v>35</v>
      </c>
      <c r="S13" s="2" cm="1">
        <f t="array" ref="S13">td_ex_h(L13,G13,101325,101325,1,0)</f>
        <v>4.0927435468451794</v>
      </c>
      <c r="T13" cm="1">
        <f t="array" ref="T13">h2exh1(R13,G13,D13,101325,101325,1)</f>
        <v>30.949493592732885</v>
      </c>
      <c r="V13">
        <v>10</v>
      </c>
      <c r="W13">
        <v>80</v>
      </c>
      <c r="X13">
        <v>0</v>
      </c>
      <c r="Y13">
        <v>22</v>
      </c>
      <c r="Z13" s="1">
        <v>30.949493592732885</v>
      </c>
      <c r="AA13">
        <v>20</v>
      </c>
      <c r="AB13">
        <v>20</v>
      </c>
      <c r="AD13" cm="1">
        <f t="array" ref="AD13">vapourpress($G13,1)*ef($G13,AD$1,1)</f>
        <v>2348.52717778632</v>
      </c>
      <c r="AE13" cm="1">
        <f t="array" ref="AE13">vapourpress($G13,1)*ef($G13,AE$1,1)</f>
        <v>2339.1937366227544</v>
      </c>
      <c r="AH13">
        <v>-1</v>
      </c>
      <c r="AI13" s="1" cm="1">
        <f t="array" ref="AI13" xml:space="preserve"> td_ex_h(AI$1,$AH13,101325,101325,0,0)</f>
        <v>-26.173786722375272</v>
      </c>
      <c r="AJ13" s="1" cm="1">
        <f t="array" ref="AJ13" xml:space="preserve"> td_ex_h(AJ$1,$AH13,101325,101325,0,0)</f>
        <v>-1.0000000000002578</v>
      </c>
    </row>
    <row r="14" spans="1:38" x14ac:dyDescent="0.25">
      <c r="A14">
        <v>11</v>
      </c>
      <c r="B14">
        <v>80</v>
      </c>
      <c r="C14">
        <v>0</v>
      </c>
      <c r="D14">
        <v>22</v>
      </c>
      <c r="E14">
        <v>-3.206</v>
      </c>
      <c r="F14">
        <v>20</v>
      </c>
      <c r="G14">
        <v>20</v>
      </c>
      <c r="J14" s="3" cm="1">
        <f t="array" ref="J14">h_ex_td(E14,G14,101325,101325,0,0)</f>
        <v>20.000164803434668</v>
      </c>
      <c r="K14" s="2" cm="1">
        <f t="array" ref="K14">h_ex_td(E14,G14,101325,101325,0,1)</f>
        <v>20.000164803434668</v>
      </c>
      <c r="L14">
        <v>20</v>
      </c>
      <c r="M14" s="1" cm="1">
        <f t="array" ref="M14">td_ex_h(L14,G14,101325,101325,1,0)</f>
        <v>-3.2060976975975688</v>
      </c>
      <c r="N14" s="3">
        <f t="shared" si="0"/>
        <v>1.6480343466795944E-4</v>
      </c>
      <c r="O14" s="2" cm="1">
        <f t="array" ref="O14">h2exh1(L14,G14,D14,101325,101325,1)</f>
        <v>17.685424910133076</v>
      </c>
      <c r="P14">
        <v>1</v>
      </c>
      <c r="Q14" s="3" cm="1">
        <f t="array" ref="Q14">ROUND((vapourpress(G14,0)*ef(G14,101325,0))/(vapourpress(G14,1)*ef(G14,101325,1))*100,3)</f>
        <v>100</v>
      </c>
      <c r="R14">
        <v>20</v>
      </c>
      <c r="S14" s="2" cm="1">
        <f t="array" ref="S14">td_ex_h(L14,G14,101325,101325,1,0)</f>
        <v>-3.2060976975975688</v>
      </c>
      <c r="T14" cm="1">
        <f t="array" ref="T14">h2exh1(R14,G14,D14,101325,101325,1)</f>
        <v>17.685424910133076</v>
      </c>
      <c r="V14">
        <v>11</v>
      </c>
      <c r="W14">
        <v>80</v>
      </c>
      <c r="X14">
        <v>0</v>
      </c>
      <c r="Y14">
        <v>22</v>
      </c>
      <c r="Z14" s="1">
        <v>17.685424910133076</v>
      </c>
      <c r="AA14">
        <v>20</v>
      </c>
      <c r="AB14">
        <v>20</v>
      </c>
      <c r="AD14" cm="1">
        <f t="array" ref="AD14">vapourpress($G14,1)*ef($G14,AD$1,1)</f>
        <v>2348.52717778632</v>
      </c>
      <c r="AE14" cm="1">
        <f t="array" ref="AE14">vapourpress($G14,1)*ef($G14,AE$1,1)</f>
        <v>2339.1937366227544</v>
      </c>
      <c r="AH14">
        <v>0</v>
      </c>
      <c r="AI14" s="1" cm="1">
        <f t="array" ref="AI14" xml:space="preserve"> td_ex_h(AI$1,$AH14,101325,101325,0,0)</f>
        <v>-25.352259305214623</v>
      </c>
      <c r="AJ14" s="1" cm="1">
        <f t="array" ref="AJ14" xml:space="preserve"> td_ex_h(AJ$1,$AH14,101325,101325,0,0)</f>
        <v>-1.5004963034825633E-3</v>
      </c>
    </row>
    <row r="15" spans="1:38" x14ac:dyDescent="0.25">
      <c r="A15">
        <v>12</v>
      </c>
      <c r="B15">
        <v>300</v>
      </c>
      <c r="C15">
        <v>0</v>
      </c>
      <c r="D15">
        <v>2</v>
      </c>
      <c r="E15">
        <v>-18.231000000000002</v>
      </c>
      <c r="F15">
        <v>20</v>
      </c>
      <c r="G15">
        <v>0</v>
      </c>
      <c r="H15" t="s">
        <v>19</v>
      </c>
      <c r="J15" s="3" cm="1">
        <f t="array" ref="J15">h_ex_td(E15,G15,101325,101325,0,0)</f>
        <v>20.001181411581275</v>
      </c>
      <c r="K15" s="2" cm="1">
        <f t="array" ref="K15">h_ex_td(E15,G15,101325,101325,0,1)</f>
        <v>19.999245423873575</v>
      </c>
      <c r="L15">
        <v>20</v>
      </c>
      <c r="M15" s="1" cm="1">
        <f t="array" ref="M15">td_ex_h(L15,G15,101325,101325,1,0)</f>
        <v>-18.230600735851418</v>
      </c>
      <c r="N15" s="3">
        <f t="shared" si="0"/>
        <v>-7.5457612642537697E-4</v>
      </c>
      <c r="O15" s="2" cm="1">
        <f t="array" ref="O15">h2exh1(L15,G15,D15,101325,101325,1)</f>
        <v>17.315728983223917</v>
      </c>
      <c r="P15">
        <v>2</v>
      </c>
      <c r="Q15" s="3" cm="1">
        <f t="array" ref="Q15">ROUND((vapourpress(G15,0)*ef(G15,101325,0))/(vapourpress(G15,1)*ef(G15,101325,1))*100,3)</f>
        <v>99.99</v>
      </c>
      <c r="R15">
        <v>20</v>
      </c>
      <c r="S15" s="2" cm="1">
        <f t="array" ref="S15">td_ex_h(L15,G15,101325,101325,1,0)</f>
        <v>-18.230600735851418</v>
      </c>
      <c r="T15" cm="1">
        <f t="array" ref="T15">h2exh1(R15,G15,D15,101325,101325,1)</f>
        <v>17.315728983223917</v>
      </c>
      <c r="V15">
        <v>12</v>
      </c>
      <c r="W15">
        <v>300</v>
      </c>
      <c r="X15">
        <v>0</v>
      </c>
      <c r="Y15">
        <v>2</v>
      </c>
      <c r="Z15" s="1">
        <v>17.315728983223917</v>
      </c>
      <c r="AA15">
        <v>20</v>
      </c>
      <c r="AB15">
        <v>0</v>
      </c>
      <c r="AD15" cm="1">
        <f t="array" ref="AD15">vapourpress($G15,1)*ef($G15,AD$1,1)</f>
        <v>613.57315235356646</v>
      </c>
      <c r="AE15" cm="1">
        <f t="array" ref="AE15">vapourpress($G15,1)*ef($G15,AE$1,1)</f>
        <v>611.21284593985456</v>
      </c>
      <c r="AH15">
        <v>1</v>
      </c>
      <c r="AI15" s="1" cm="1">
        <f t="array" ref="AI15" xml:space="preserve"> td_ex_h(AI$1,$AH15,101325,101325,0,0)</f>
        <v>-24.626677149787817</v>
      </c>
      <c r="AJ15" s="1" cm="1">
        <f t="array" ref="AJ15" xml:space="preserve"> td_ex_h(AJ$1,$AH15,101325,101325,0,0)</f>
        <v>0.99999999999997802</v>
      </c>
    </row>
    <row r="16" spans="1:38" x14ac:dyDescent="0.25">
      <c r="A16">
        <v>13</v>
      </c>
      <c r="B16">
        <v>80</v>
      </c>
      <c r="C16">
        <v>0</v>
      </c>
      <c r="D16">
        <v>2</v>
      </c>
      <c r="E16">
        <v>-12.175000000000001</v>
      </c>
      <c r="F16">
        <v>20</v>
      </c>
      <c r="G16">
        <v>0</v>
      </c>
      <c r="J16" s="3" cm="1">
        <f t="array" ref="J16">h_ex_td(E16,G16,101325,101325,0,0)</f>
        <v>35.004585716385634</v>
      </c>
      <c r="K16" s="2" cm="1">
        <f t="array" ref="K16">h_ex_td(E16,G16,101325,101325,0,1)</f>
        <v>35.001197494146872</v>
      </c>
      <c r="L16">
        <v>35</v>
      </c>
      <c r="M16" s="1" cm="1">
        <f t="array" ref="M16">td_ex_h(L16,G16,101325,101325,1,0)</f>
        <v>-12.175378906092927</v>
      </c>
      <c r="N16" s="3">
        <f t="shared" si="0"/>
        <v>1.1974941468722022E-3</v>
      </c>
      <c r="O16" s="2" cm="1">
        <f t="array" ref="O16">h2exh1(L16,G16,D16,101325,101325,1)</f>
        <v>30.302525720641853</v>
      </c>
      <c r="P16">
        <v>2</v>
      </c>
      <c r="Q16" s="3" cm="1">
        <f t="array" ref="Q16">ROUND((vapourpress(G16,0)*ef(G16,101325,0))/(vapourpress(G16,1)*ef(G16,101325,1))*100,3)</f>
        <v>99.99</v>
      </c>
      <c r="R16">
        <v>35</v>
      </c>
      <c r="S16" s="2" cm="1">
        <f t="array" ref="S16">td_ex_h(L16,G16,101325,101325,1,0)</f>
        <v>-12.175378906092927</v>
      </c>
      <c r="T16" cm="1">
        <f t="array" ref="T16">h2exh1(R16,G16,D16,101325,101325,1)</f>
        <v>30.302525720641853</v>
      </c>
      <c r="V16">
        <v>13</v>
      </c>
      <c r="W16">
        <v>80</v>
      </c>
      <c r="X16">
        <v>0</v>
      </c>
      <c r="Y16">
        <v>2</v>
      </c>
      <c r="Z16" s="1">
        <v>30.302525720641853</v>
      </c>
      <c r="AA16">
        <v>20</v>
      </c>
      <c r="AB16">
        <v>0</v>
      </c>
      <c r="AD16" cm="1">
        <f t="array" ref="AD16">vapourpress($G16,1)*ef($G16,AD$1,1)</f>
        <v>613.57315235356646</v>
      </c>
      <c r="AE16" cm="1">
        <f t="array" ref="AE16">vapourpress($G16,1)*ef($G16,AE$1,1)</f>
        <v>611.21284593985456</v>
      </c>
      <c r="AH16">
        <v>2</v>
      </c>
      <c r="AI16" s="1" cm="1">
        <f t="array" ref="AI16" xml:space="preserve"> td_ex_h(AI$1,$AH16,101325,101325,0,0)</f>
        <v>-23.90376376706449</v>
      </c>
      <c r="AJ16" s="1" cm="1">
        <f t="array" ref="AJ16" xml:space="preserve"> td_ex_h(AJ$1,$AH16,101325,101325,0,0)</f>
        <v>2.0000000000000284</v>
      </c>
    </row>
    <row r="17" spans="1:36" x14ac:dyDescent="0.25">
      <c r="A17">
        <v>14</v>
      </c>
      <c r="B17">
        <v>80</v>
      </c>
      <c r="C17">
        <v>0</v>
      </c>
      <c r="D17">
        <v>2</v>
      </c>
      <c r="E17">
        <v>-8.1630000000000003</v>
      </c>
      <c r="F17">
        <v>20</v>
      </c>
      <c r="G17">
        <v>0</v>
      </c>
      <c r="J17" s="3" cm="1">
        <f t="array" ref="J17">h_ex_td(E17,G17,101325,101325,0,0)</f>
        <v>50.005334374911179</v>
      </c>
      <c r="K17" s="2" cm="1">
        <f t="array" ref="K17">h_ex_td(E17,G17,101325,101325,0,1)</f>
        <v>50.000494175191115</v>
      </c>
      <c r="L17">
        <v>50</v>
      </c>
      <c r="M17" s="1" cm="1">
        <f t="array" ref="M17">td_ex_h(L17,G17,101325,101325,1,0)</f>
        <v>-8.1631128878586061</v>
      </c>
      <c r="N17" s="3">
        <f t="shared" si="0"/>
        <v>4.9417519111472075E-4</v>
      </c>
      <c r="O17" s="2" cm="1">
        <f t="array" ref="O17">h2exh1(L17,G17,D17,101325,101325,1)</f>
        <v>43.2893224580598</v>
      </c>
      <c r="P17">
        <v>2</v>
      </c>
      <c r="Q17" s="3" cm="1">
        <f t="array" ref="Q17">ROUND((vapourpress(G17,0)*ef(G17,101325,0))/(vapourpress(G17,1)*ef(G17,101325,1))*100,3)</f>
        <v>99.99</v>
      </c>
      <c r="R17">
        <v>50</v>
      </c>
      <c r="S17" s="2" cm="1">
        <f t="array" ref="S17">td_ex_h(L17,G17,101325,101325,1,0)</f>
        <v>-8.1631128878586061</v>
      </c>
      <c r="T17" cm="1">
        <f t="array" ref="T17">h2exh1(R17,G17,D17,101325,101325,1)</f>
        <v>43.2893224580598</v>
      </c>
      <c r="V17">
        <v>14</v>
      </c>
      <c r="W17">
        <v>80</v>
      </c>
      <c r="X17">
        <v>0</v>
      </c>
      <c r="Y17">
        <v>2</v>
      </c>
      <c r="Z17" s="1">
        <v>43.2893224580598</v>
      </c>
      <c r="AA17">
        <v>20</v>
      </c>
      <c r="AB17">
        <v>0</v>
      </c>
      <c r="AD17" cm="1">
        <f t="array" ref="AD17">vapourpress($G17,1)*ef($G17,AD$1,1)</f>
        <v>613.57315235356646</v>
      </c>
      <c r="AE17" cm="1">
        <f t="array" ref="AE17">vapourpress($G17,1)*ef($G17,AE$1,1)</f>
        <v>611.21284593985456</v>
      </c>
      <c r="AH17">
        <v>3</v>
      </c>
      <c r="AI17" s="1" cm="1">
        <f t="array" ref="AI17" xml:space="preserve"> td_ex_h(AI$1,$AH17,101325,101325,0,0)</f>
        <v>-23.182551002313335</v>
      </c>
      <c r="AJ17" s="1" cm="1">
        <f t="array" ref="AJ17" xml:space="preserve"> td_ex_h(AJ$1,$AH17,101325,101325,0,0)</f>
        <v>3.0000000000000235</v>
      </c>
    </row>
    <row r="18" spans="1:36" x14ac:dyDescent="0.25">
      <c r="A18">
        <v>15</v>
      </c>
      <c r="B18">
        <v>80</v>
      </c>
      <c r="C18">
        <v>0</v>
      </c>
      <c r="D18">
        <v>2</v>
      </c>
      <c r="E18">
        <v>-5.1319999999999997</v>
      </c>
      <c r="F18">
        <v>20</v>
      </c>
      <c r="G18">
        <v>0</v>
      </c>
      <c r="J18" s="3" cm="1">
        <f t="array" ref="J18">h_ex_td(E18,G18,101325,101325,0,0)</f>
        <v>65.004898128341608</v>
      </c>
      <c r="K18" s="2" cm="1">
        <f t="array" ref="K18">h_ex_td(E18,G18,101325,101325,0,1)</f>
        <v>64.998606065831538</v>
      </c>
      <c r="L18">
        <v>65</v>
      </c>
      <c r="M18" s="1" cm="1">
        <f t="array" ref="M18">td_ex_h(L18,G18,101325,101325,1,0)</f>
        <v>-5.1317493713567792</v>
      </c>
      <c r="N18" s="3">
        <f t="shared" si="0"/>
        <v>-1.3939341684618967E-3</v>
      </c>
      <c r="O18" s="2" cm="1">
        <f t="array" ref="O18">h2exh1(L18,G18,D18,101325,101325,1)</f>
        <v>56.276119195477726</v>
      </c>
      <c r="P18">
        <v>2</v>
      </c>
      <c r="Q18" s="3" cm="1">
        <f t="array" ref="Q18">ROUND((vapourpress(G18,0)*ef(G18,101325,0))/(vapourpress(G18,1)*ef(G18,101325,1))*100,3)</f>
        <v>99.99</v>
      </c>
      <c r="R18">
        <v>65</v>
      </c>
      <c r="S18" s="2" cm="1">
        <f t="array" ref="S18">td_ex_h(L18,G18,101325,101325,1,0)</f>
        <v>-5.1317493713567792</v>
      </c>
      <c r="T18" cm="1">
        <f t="array" ref="T18">h2exh1(R18,G18,D18,101325,101325,1)</f>
        <v>56.276119195477726</v>
      </c>
      <c r="V18">
        <v>15</v>
      </c>
      <c r="W18">
        <v>80</v>
      </c>
      <c r="X18">
        <v>0</v>
      </c>
      <c r="Y18">
        <v>2</v>
      </c>
      <c r="Z18" s="1">
        <v>56.276119195477726</v>
      </c>
      <c r="AA18">
        <v>20</v>
      </c>
      <c r="AB18">
        <v>0</v>
      </c>
    </row>
    <row r="19" spans="1:36" x14ac:dyDescent="0.25">
      <c r="A19">
        <v>16</v>
      </c>
      <c r="B19">
        <v>80</v>
      </c>
      <c r="C19">
        <v>0</v>
      </c>
      <c r="D19">
        <v>2</v>
      </c>
      <c r="E19">
        <v>-2.6829999999999998</v>
      </c>
      <c r="F19">
        <v>20</v>
      </c>
      <c r="G19">
        <v>0</v>
      </c>
      <c r="J19" s="3" cm="1">
        <f t="array" ref="J19">h_ex_td(E19,G19,101325,101325,0,0)</f>
        <v>80.006449139544031</v>
      </c>
      <c r="K19" s="2" cm="1">
        <f t="array" ref="K19">h_ex_td(E19,G19,101325,101325,0,1)</f>
        <v>79.99870502188999</v>
      </c>
      <c r="L19">
        <v>80</v>
      </c>
      <c r="M19" s="1" cm="1">
        <f t="array" ref="M19">td_ex_h(L19,G19,101325,101325,1,0)</f>
        <v>-2.6828073289003922</v>
      </c>
      <c r="N19" s="3">
        <f t="shared" si="0"/>
        <v>-1.2949781100104474E-3</v>
      </c>
      <c r="O19" s="2" cm="1">
        <f t="array" ref="O19">h2exh1(L19,G19,D19,101325,101325,1)</f>
        <v>69.262915932895666</v>
      </c>
      <c r="P19">
        <v>2</v>
      </c>
      <c r="Q19" s="3" cm="1">
        <f t="array" ref="Q19">ROUND((vapourpress(G19,0)*ef(G19,101325,0))/(vapourpress(G19,1)*ef(G19,101325,1))*100,3)</f>
        <v>99.99</v>
      </c>
      <c r="R19">
        <v>80</v>
      </c>
      <c r="S19" s="2" cm="1">
        <f t="array" ref="S19">td_ex_h(L19,G19,101325,101325,1,0)</f>
        <v>-2.6828073289003922</v>
      </c>
      <c r="T19" cm="1">
        <f t="array" ref="T19">h2exh1(R19,G19,D19,101325,101325,1)</f>
        <v>69.262915932895666</v>
      </c>
      <c r="V19">
        <v>16</v>
      </c>
      <c r="W19">
        <v>80</v>
      </c>
      <c r="X19">
        <v>0</v>
      </c>
      <c r="Y19">
        <v>2</v>
      </c>
      <c r="Z19" s="1">
        <v>69.262915932895666</v>
      </c>
      <c r="AA19">
        <v>20</v>
      </c>
      <c r="AB19">
        <v>0</v>
      </c>
    </row>
    <row r="20" spans="1:36" x14ac:dyDescent="0.25">
      <c r="A20">
        <v>17</v>
      </c>
      <c r="B20">
        <v>120</v>
      </c>
      <c r="C20">
        <v>0</v>
      </c>
      <c r="D20">
        <v>2</v>
      </c>
      <c r="E20">
        <v>-0.52027999551713255</v>
      </c>
      <c r="F20">
        <v>10</v>
      </c>
      <c r="G20">
        <v>0</v>
      </c>
      <c r="H20" t="s">
        <v>20</v>
      </c>
      <c r="J20" s="3" cm="1">
        <f t="array" ref="J20">h_ex_td(E20,G20,101325,101325,0,0)</f>
        <v>95.809273731003458</v>
      </c>
      <c r="K20" s="2" cm="1">
        <f t="array" ref="K20">h_ex_td(E20,G20,101325,101325,0,1)</f>
        <v>95.799999999996757</v>
      </c>
      <c r="L20">
        <v>95</v>
      </c>
      <c r="M20" s="1" cm="1">
        <f t="array" ref="M20">td_ex_h(L20,G20,101325,101325,1,0)</f>
        <v>-0.62166675272670369</v>
      </c>
      <c r="N20" s="3">
        <f t="shared" si="0"/>
        <v>0.79999999999675708</v>
      </c>
      <c r="O20" s="2" cm="1">
        <f t="array" ref="O20">h2exh1(L20,G20,D20,101325,101325,1)</f>
        <v>82.249712670313627</v>
      </c>
      <c r="P20">
        <v>2</v>
      </c>
      <c r="Q20" s="3" cm="1">
        <f t="array" ref="Q20">ROUND((vapourpress(G20,0)*ef(G20,101325,0))/(vapourpress(G20,1)*ef(G20,101325,1))*100,3)</f>
        <v>99.99</v>
      </c>
      <c r="R20">
        <v>95</v>
      </c>
      <c r="S20" s="2" cm="1">
        <f t="array" ref="S20">td_ex_h(L20,G20,101325,101325,1,0)</f>
        <v>-0.62166675272670369</v>
      </c>
      <c r="T20" cm="1">
        <f t="array" ref="T20">h2exh1(R20,G20,D20,101325,101325,1)</f>
        <v>82.249712670313627</v>
      </c>
      <c r="V20">
        <v>17</v>
      </c>
      <c r="W20">
        <v>120</v>
      </c>
      <c r="X20">
        <v>0</v>
      </c>
      <c r="Y20">
        <v>2</v>
      </c>
      <c r="Z20" s="1">
        <v>82.249712670313627</v>
      </c>
      <c r="AA20">
        <v>10</v>
      </c>
      <c r="AB20">
        <v>0</v>
      </c>
    </row>
    <row r="21" spans="1:36" x14ac:dyDescent="0.25">
      <c r="A21">
        <v>18</v>
      </c>
      <c r="B21">
        <v>80</v>
      </c>
      <c r="C21">
        <v>0</v>
      </c>
      <c r="D21">
        <v>2</v>
      </c>
      <c r="E21">
        <v>-2.6829999999999998</v>
      </c>
      <c r="F21">
        <v>20</v>
      </c>
      <c r="G21">
        <v>0</v>
      </c>
      <c r="J21" s="3" cm="1">
        <f t="array" ref="J21">h_ex_td(E21,G21,101325,101325,0,0)</f>
        <v>80.006449139544031</v>
      </c>
      <c r="K21" s="2" cm="1">
        <f t="array" ref="K21">h_ex_td(E21,G21,101325,101325,0,1)</f>
        <v>79.99870502188999</v>
      </c>
      <c r="L21">
        <v>80</v>
      </c>
      <c r="M21" s="1" cm="1">
        <f t="array" ref="M21">td_ex_h(L21,G21,101325,101325,1,0)</f>
        <v>-2.6828073289003922</v>
      </c>
      <c r="N21" s="3">
        <f t="shared" si="0"/>
        <v>-1.2949781100104474E-3</v>
      </c>
      <c r="O21" s="2" cm="1">
        <f t="array" ref="O21">h2exh1(L21,G21,D21,101325,101325,1)</f>
        <v>69.262915932895666</v>
      </c>
      <c r="P21">
        <v>2</v>
      </c>
      <c r="Q21" s="3" cm="1">
        <f t="array" ref="Q21">ROUND((vapourpress(G21,0)*ef(G21,101325,0))/(vapourpress(G21,1)*ef(G21,101325,1))*100,3)</f>
        <v>99.99</v>
      </c>
      <c r="R21">
        <v>80</v>
      </c>
      <c r="S21" s="2" cm="1">
        <f t="array" ref="S21">td_ex_h(L21,G21,101325,101325,1,0)</f>
        <v>-2.6828073289003922</v>
      </c>
      <c r="T21" cm="1">
        <f t="array" ref="T21">h2exh1(R21,G21,D21,101325,101325,1)</f>
        <v>69.262915932895666</v>
      </c>
      <c r="V21">
        <v>18</v>
      </c>
      <c r="W21">
        <v>80</v>
      </c>
      <c r="X21">
        <v>0</v>
      </c>
      <c r="Y21">
        <v>2</v>
      </c>
      <c r="Z21" s="1">
        <v>69.262915932895666</v>
      </c>
      <c r="AA21">
        <v>20</v>
      </c>
      <c r="AB21">
        <v>0</v>
      </c>
    </row>
    <row r="22" spans="1:36" x14ac:dyDescent="0.25">
      <c r="A22">
        <v>19</v>
      </c>
      <c r="B22">
        <v>80</v>
      </c>
      <c r="C22">
        <v>0</v>
      </c>
      <c r="D22">
        <v>2</v>
      </c>
      <c r="E22">
        <v>-5.1319999999999997</v>
      </c>
      <c r="F22">
        <v>20</v>
      </c>
      <c r="G22">
        <v>0</v>
      </c>
      <c r="J22" s="3" cm="1">
        <f t="array" ref="J22">h_ex_td(E22,G22,101325,101325,0,0)</f>
        <v>65.004898128341608</v>
      </c>
      <c r="K22" s="2" cm="1">
        <f t="array" ref="K22">h_ex_td(E22,G22,101325,101325,0,1)</f>
        <v>64.998606065831538</v>
      </c>
      <c r="L22">
        <v>65</v>
      </c>
      <c r="M22" s="1" cm="1">
        <f t="array" ref="M22">td_ex_h(L22,G22,101325,101325,1,0)</f>
        <v>-5.1317493713567792</v>
      </c>
      <c r="N22" s="3">
        <f t="shared" si="0"/>
        <v>-1.3939341684618967E-3</v>
      </c>
      <c r="O22" s="2" cm="1">
        <f t="array" ref="O22">h2exh1(L22,G22,D22,101325,101325,1)</f>
        <v>56.276119195477726</v>
      </c>
      <c r="P22">
        <v>2</v>
      </c>
      <c r="Q22" s="3" cm="1">
        <f t="array" ref="Q22">ROUND((vapourpress(G22,0)*ef(G22,101325,0))/(vapourpress(G22,1)*ef(G22,101325,1))*100,3)</f>
        <v>99.99</v>
      </c>
      <c r="R22">
        <v>65</v>
      </c>
      <c r="S22" s="2" cm="1">
        <f t="array" ref="S22">td_ex_h(L22,G22,101325,101325,1,0)</f>
        <v>-5.1317493713567792</v>
      </c>
      <c r="T22" cm="1">
        <f t="array" ref="T22">h2exh1(R22,G22,D22,101325,101325,1)</f>
        <v>56.276119195477726</v>
      </c>
      <c r="V22">
        <v>19</v>
      </c>
      <c r="W22">
        <v>80</v>
      </c>
      <c r="X22">
        <v>0</v>
      </c>
      <c r="Y22">
        <v>2</v>
      </c>
      <c r="Z22" s="1">
        <v>56.276119195477726</v>
      </c>
      <c r="AA22">
        <v>20</v>
      </c>
      <c r="AB22">
        <v>0</v>
      </c>
    </row>
    <row r="23" spans="1:36" x14ac:dyDescent="0.25">
      <c r="A23">
        <v>20</v>
      </c>
      <c r="B23">
        <v>80</v>
      </c>
      <c r="C23">
        <v>0</v>
      </c>
      <c r="D23">
        <v>2</v>
      </c>
      <c r="E23">
        <v>-8.1630000000000003</v>
      </c>
      <c r="F23">
        <v>20</v>
      </c>
      <c r="G23">
        <v>0</v>
      </c>
      <c r="J23" s="3" cm="1">
        <f t="array" ref="J23">h_ex_td(E23,G23,101325,101325,0,0)</f>
        <v>50.005334374911179</v>
      </c>
      <c r="K23" s="2" cm="1">
        <f t="array" ref="K23">h_ex_td(E23,G23,101325,101325,0,1)</f>
        <v>50.000494175191115</v>
      </c>
      <c r="L23">
        <v>50</v>
      </c>
      <c r="M23" s="1" cm="1">
        <f t="array" ref="M23">td_ex_h(L23,G23,101325,101325,1,0)</f>
        <v>-8.1631128878586061</v>
      </c>
      <c r="N23" s="3">
        <f t="shared" si="0"/>
        <v>4.9417519111472075E-4</v>
      </c>
      <c r="O23" s="2" cm="1">
        <f t="array" ref="O23">h2exh1(L23,G23,D23,101325,101325,1)</f>
        <v>43.2893224580598</v>
      </c>
      <c r="P23">
        <v>2</v>
      </c>
      <c r="Q23" s="3" cm="1">
        <f t="array" ref="Q23">ROUND((vapourpress(G23,0)*ef(G23,101325,0))/(vapourpress(G23,1)*ef(G23,101325,1))*100,3)</f>
        <v>99.99</v>
      </c>
      <c r="R23">
        <v>50</v>
      </c>
      <c r="S23" s="2" cm="1">
        <f t="array" ref="S23">td_ex_h(L23,G23,101325,101325,1,0)</f>
        <v>-8.1631128878586061</v>
      </c>
      <c r="T23" cm="1">
        <f t="array" ref="T23">h2exh1(R23,G23,D23,101325,101325,1)</f>
        <v>43.2893224580598</v>
      </c>
      <c r="V23">
        <v>20</v>
      </c>
      <c r="W23">
        <v>80</v>
      </c>
      <c r="X23">
        <v>0</v>
      </c>
      <c r="Y23">
        <v>2</v>
      </c>
      <c r="Z23" s="1">
        <v>43.2893224580598</v>
      </c>
      <c r="AA23">
        <v>20</v>
      </c>
      <c r="AB23">
        <v>0</v>
      </c>
    </row>
    <row r="24" spans="1:36" x14ac:dyDescent="0.25">
      <c r="A24">
        <v>21</v>
      </c>
      <c r="B24">
        <v>80</v>
      </c>
      <c r="C24">
        <v>0</v>
      </c>
      <c r="D24">
        <v>2</v>
      </c>
      <c r="E24">
        <v>-12.175000000000001</v>
      </c>
      <c r="F24">
        <v>20</v>
      </c>
      <c r="G24">
        <v>0</v>
      </c>
      <c r="J24" s="3" cm="1">
        <f t="array" ref="J24">h_ex_td(E24,G24,101325,101325,0,0)</f>
        <v>35.004585716385634</v>
      </c>
      <c r="K24" s="2" cm="1">
        <f t="array" ref="K24">h_ex_td(E24,G24,101325,101325,0,1)</f>
        <v>35.001197494146872</v>
      </c>
      <c r="L24">
        <v>35</v>
      </c>
      <c r="M24" s="1" cm="1">
        <f t="array" ref="M24">td_ex_h(L24,G24,101325,101325,1,0)</f>
        <v>-12.175378906092927</v>
      </c>
      <c r="N24" s="3">
        <f t="shared" si="0"/>
        <v>1.1974941468722022E-3</v>
      </c>
      <c r="O24" s="2" cm="1">
        <f t="array" ref="O24">h2exh1(L24,G24,D24,101325,101325,1)</f>
        <v>30.302525720641853</v>
      </c>
      <c r="P24">
        <v>2</v>
      </c>
      <c r="Q24" s="3" cm="1">
        <f t="array" ref="Q24">ROUND((vapourpress(G24,0)*ef(G24,101325,0))/(vapourpress(G24,1)*ef(G24,101325,1))*100,3)</f>
        <v>99.99</v>
      </c>
      <c r="R24">
        <v>35</v>
      </c>
      <c r="S24" s="2" cm="1">
        <f t="array" ref="S24">td_ex_h(L24,G24,101325,101325,1,0)</f>
        <v>-12.175378906092927</v>
      </c>
      <c r="T24" cm="1">
        <f t="array" ref="T24">h2exh1(R24,G24,D24,101325,101325,1)</f>
        <v>30.302525720641853</v>
      </c>
      <c r="V24">
        <v>21</v>
      </c>
      <c r="W24">
        <v>80</v>
      </c>
      <c r="X24">
        <v>0</v>
      </c>
      <c r="Y24">
        <v>2</v>
      </c>
      <c r="Z24" s="1">
        <v>30.302525720641853</v>
      </c>
      <c r="AA24">
        <v>20</v>
      </c>
      <c r="AB24">
        <v>0</v>
      </c>
    </row>
    <row r="25" spans="1:36" x14ac:dyDescent="0.25">
      <c r="A25">
        <v>22</v>
      </c>
      <c r="B25">
        <v>80</v>
      </c>
      <c r="C25">
        <v>0</v>
      </c>
      <c r="D25">
        <v>2</v>
      </c>
      <c r="E25">
        <v>-18.231000000000002</v>
      </c>
      <c r="F25">
        <v>20</v>
      </c>
      <c r="G25">
        <v>0</v>
      </c>
      <c r="J25" s="3" cm="1">
        <f t="array" ref="J25">h_ex_td(E25,G25,101325,101325,0,0)</f>
        <v>20.001181411581275</v>
      </c>
      <c r="K25" s="2" cm="1">
        <f t="array" ref="K25">h_ex_td(E25,G25,101325,101325,0,1)</f>
        <v>19.999245423873575</v>
      </c>
      <c r="L25">
        <v>20</v>
      </c>
      <c r="M25" s="1" cm="1">
        <f t="array" ref="M25">td_ex_h(L25,G25,101325,101325,1,0)</f>
        <v>-18.230600735851418</v>
      </c>
      <c r="N25" s="3">
        <f t="shared" si="0"/>
        <v>-7.5457612642537697E-4</v>
      </c>
      <c r="O25" s="2" cm="1">
        <f t="array" ref="O25">h2exh1(L25,G25,D25,101325,101325,1)</f>
        <v>17.315728983223917</v>
      </c>
      <c r="P25">
        <v>2</v>
      </c>
      <c r="Q25" s="3" cm="1">
        <f t="array" ref="Q25">ROUND((vapourpress(G25,0)*ef(G25,101325,0))/(vapourpress(G25,1)*ef(G25,101325,1))*100,3)</f>
        <v>99.99</v>
      </c>
      <c r="R25">
        <v>20</v>
      </c>
      <c r="S25" s="2" cm="1">
        <f t="array" ref="S25">td_ex_h(L25,G25,101325,101325,1,0)</f>
        <v>-18.230600735851418</v>
      </c>
      <c r="T25" cm="1">
        <f t="array" ref="T25">h2exh1(R25,G25,D25,101325,101325,1)</f>
        <v>17.315728983223917</v>
      </c>
      <c r="V25">
        <v>22</v>
      </c>
      <c r="W25">
        <v>80</v>
      </c>
      <c r="X25">
        <v>0</v>
      </c>
      <c r="Y25">
        <v>2</v>
      </c>
      <c r="Z25" s="1">
        <v>17.315728983223917</v>
      </c>
      <c r="AA25">
        <v>20</v>
      </c>
      <c r="AB25">
        <v>0</v>
      </c>
    </row>
    <row r="26" spans="1:36" x14ac:dyDescent="0.25">
      <c r="A26">
        <v>23</v>
      </c>
      <c r="B26">
        <v>180</v>
      </c>
      <c r="C26">
        <v>0</v>
      </c>
      <c r="D26">
        <v>-8</v>
      </c>
      <c r="E26">
        <v>-25.992000000000001</v>
      </c>
      <c r="F26">
        <v>20</v>
      </c>
      <c r="G26">
        <v>-10</v>
      </c>
      <c r="H26" t="s">
        <v>21</v>
      </c>
      <c r="J26" s="3" cm="1">
        <f t="array" ref="J26">h_ex_td(E26,G26,101325,101325,0,0)</f>
        <v>22.050623597736525</v>
      </c>
      <c r="K26" s="2" cm="1">
        <f t="array" ref="K26">h_ex_td(E26,G26,101325,101325,0,1)</f>
        <v>19.999913735419973</v>
      </c>
      <c r="L26">
        <v>20</v>
      </c>
      <c r="M26" s="1" cm="1">
        <f t="array" ref="M26">td_ex_h(L26,G26,101325,101325,1,0)</f>
        <v>-25.991955714271032</v>
      </c>
      <c r="N26" s="3">
        <f t="shared" si="0"/>
        <v>-8.6264580026806925E-5</v>
      </c>
      <c r="O26" s="2" cm="1">
        <f t="array" ref="O26">h2exh1(L26,G26,D26,101325,101325,1)</f>
        <v>17.100806960161528</v>
      </c>
      <c r="P26">
        <v>3</v>
      </c>
      <c r="Q26" s="3" cm="1">
        <f t="array" ref="Q26">ROUND(vapourpress(G26,0)/vapourpress(G26,1),3)*100</f>
        <v>90.7</v>
      </c>
      <c r="R26">
        <v>20</v>
      </c>
      <c r="S26" s="2" cm="1">
        <f t="array" ref="S26">td_ex_h(L26,G26,101325,101325,1,0)</f>
        <v>-25.991955714271032</v>
      </c>
      <c r="T26" cm="1">
        <f t="array" ref="T26">h2exh1(R26,G26,D26,101325,101325,1)</f>
        <v>17.100806960161528</v>
      </c>
      <c r="V26">
        <v>23</v>
      </c>
      <c r="W26">
        <v>180</v>
      </c>
      <c r="X26">
        <v>0</v>
      </c>
      <c r="Y26">
        <v>-8</v>
      </c>
      <c r="Z26" s="1">
        <v>17.100806960161528</v>
      </c>
      <c r="AA26">
        <v>20</v>
      </c>
      <c r="AB26">
        <v>-10</v>
      </c>
    </row>
    <row r="27" spans="1:36" x14ac:dyDescent="0.25">
      <c r="A27">
        <v>24</v>
      </c>
      <c r="B27">
        <v>80</v>
      </c>
      <c r="C27">
        <v>0</v>
      </c>
      <c r="D27">
        <v>-8</v>
      </c>
      <c r="E27">
        <v>-20.305</v>
      </c>
      <c r="F27">
        <v>20</v>
      </c>
      <c r="G27">
        <v>-10</v>
      </c>
      <c r="J27" s="3" cm="1">
        <f t="array" ref="J27">h_ex_td(E27,G27,101325,101325,0,0)</f>
        <v>38.587345433851517</v>
      </c>
      <c r="K27" s="2" cm="1">
        <f t="array" ref="K27">h_ex_td(E27,G27,101325,101325,0,1)</f>
        <v>34.998719040086499</v>
      </c>
      <c r="L27">
        <v>35</v>
      </c>
      <c r="M27" s="1" cm="1">
        <f t="array" ref="M27">td_ex_h(L27,G27,101325,101325,1,0)</f>
        <v>-20.30461875353938</v>
      </c>
      <c r="N27" s="3">
        <f t="shared" si="0"/>
        <v>-1.2809599135010785E-3</v>
      </c>
      <c r="O27" s="2" cm="1">
        <f t="array" ref="O27">h2exh1(L27,G27,D27,101325,101325,1)</f>
        <v>29.926412180282671</v>
      </c>
      <c r="P27">
        <v>3</v>
      </c>
      <c r="Q27" s="3" cm="1">
        <f t="array" ref="Q27">ROUND((vapourpress(G27,0)*ef(G27,101325,0))/(vapourpress(G27,1)*ef(G27,101325,1))*100,3)</f>
        <v>90.7</v>
      </c>
      <c r="R27">
        <v>35</v>
      </c>
      <c r="S27" s="2" cm="1">
        <f t="array" ref="S27">td_ex_h(L27,G27,101325,101325,1,0)</f>
        <v>-20.30461875353938</v>
      </c>
      <c r="T27" cm="1">
        <f t="array" ref="T27">h2exh1(R27,G27,D27,101325,101325,1)</f>
        <v>29.926412180282671</v>
      </c>
      <c r="V27">
        <v>24</v>
      </c>
      <c r="W27">
        <v>80</v>
      </c>
      <c r="X27">
        <v>0</v>
      </c>
      <c r="Y27">
        <v>-8</v>
      </c>
      <c r="Z27" s="1">
        <v>29.926412180282671</v>
      </c>
      <c r="AA27">
        <v>20</v>
      </c>
      <c r="AB27">
        <v>-10</v>
      </c>
    </row>
    <row r="28" spans="1:36" x14ac:dyDescent="0.25">
      <c r="A28">
        <v>25</v>
      </c>
      <c r="B28">
        <v>80</v>
      </c>
      <c r="C28">
        <v>0</v>
      </c>
      <c r="D28">
        <v>2</v>
      </c>
      <c r="E28">
        <v>-16.541</v>
      </c>
      <c r="F28">
        <v>20</v>
      </c>
      <c r="G28">
        <v>-10</v>
      </c>
      <c r="J28" s="3" cm="1">
        <f t="array" ref="J28">h_ex_td(E28,G28,101325,101325,0,0)</f>
        <v>55.126512291645611</v>
      </c>
      <c r="K28" s="2" cm="1">
        <f t="array" ref="K28">h_ex_td(E28,G28,101325,101325,0,1)</f>
        <v>49.999741979208878</v>
      </c>
      <c r="L28">
        <v>50</v>
      </c>
      <c r="M28" s="1" cm="1">
        <f t="array" ref="M28">td_ex_h(L28,G28,101325,101325,1,0)</f>
        <v>-16.540944360641994</v>
      </c>
      <c r="N28" s="3">
        <f t="shared" si="0"/>
        <v>-2.5802079112224874E-4</v>
      </c>
      <c r="O28" s="2" cm="1">
        <f t="array" ref="O28">h2exh1(L28,G28,D28,101325,101325,1)</f>
        <v>20.296222842264104</v>
      </c>
      <c r="P28">
        <v>3</v>
      </c>
      <c r="Q28" s="3" cm="1">
        <f t="array" ref="Q28">ROUND((vapourpress(G28,0)*ef(G28,101325,0))/(vapourpress(G28,1)*ef(G28,101325,1)),3)*100</f>
        <v>90.7</v>
      </c>
      <c r="R28">
        <v>50</v>
      </c>
      <c r="S28" s="2" cm="1">
        <f t="array" ref="S28">td_ex_h(L28,G28,101325,101325,1,0)</f>
        <v>-16.540944360641994</v>
      </c>
      <c r="T28" cm="1">
        <f t="array" ref="T28">h2exh1(R28,G28,D28,101325,101325,1)</f>
        <v>20.296222842264104</v>
      </c>
      <c r="V28">
        <v>25</v>
      </c>
      <c r="W28">
        <v>80</v>
      </c>
      <c r="X28">
        <v>0</v>
      </c>
      <c r="Y28">
        <v>-8</v>
      </c>
      <c r="Z28" s="1">
        <v>42.752017400403822</v>
      </c>
      <c r="AA28">
        <v>20</v>
      </c>
      <c r="AB28">
        <v>-10</v>
      </c>
    </row>
    <row r="29" spans="1:36" x14ac:dyDescent="0.25">
      <c r="A29">
        <v>26</v>
      </c>
      <c r="B29">
        <v>180</v>
      </c>
      <c r="C29">
        <v>0</v>
      </c>
      <c r="D29">
        <v>2</v>
      </c>
      <c r="E29">
        <v>-13.7</v>
      </c>
      <c r="F29">
        <v>20</v>
      </c>
      <c r="G29">
        <v>-10</v>
      </c>
      <c r="H29" t="s">
        <v>22</v>
      </c>
      <c r="J29" s="3" cm="1">
        <f t="array" ref="J29">h_ex_td(E29,G29,101325,101325,0,0)</f>
        <v>71.664551673945283</v>
      </c>
      <c r="K29" s="2" cm="1">
        <f t="array" ref="K29">h_ex_td(E29,G29,101325,101325,0,1)</f>
        <v>64.999742298153322</v>
      </c>
      <c r="L29">
        <v>65</v>
      </c>
      <c r="M29" s="1" cm="1">
        <f t="array" ref="M29">td_ex_h(L29,G29,101325,101325,1,0)</f>
        <v>-13.699956403974353</v>
      </c>
      <c r="N29" s="3">
        <f t="shared" si="0"/>
        <v>-2.5770184667806006E-4</v>
      </c>
      <c r="O29" s="2" cm="1">
        <f t="array" ref="O29">h2exh1(L29,G29,D29,101325,101325,1)</f>
        <v>26.385089694943332</v>
      </c>
      <c r="P29">
        <v>3</v>
      </c>
      <c r="Q29" s="3" cm="1">
        <f t="array" ref="Q29">ROUND((vapourpress(G29,0)*ef(G29,101325,0))/(vapourpress(G29,1)*ef(G29,101325,1))*100,3)</f>
        <v>90.7</v>
      </c>
      <c r="R29">
        <v>65</v>
      </c>
      <c r="S29" s="2" cm="1">
        <f t="array" ref="S29">td_ex_h(L29,G29,101325,101325,1,0)</f>
        <v>-13.699956403974353</v>
      </c>
      <c r="T29" cm="1">
        <f t="array" ref="T29">h2exh1(R29,G29,D29,101325,101325,1)</f>
        <v>26.385089694943332</v>
      </c>
      <c r="V29">
        <v>26</v>
      </c>
      <c r="W29">
        <v>180</v>
      </c>
      <c r="X29">
        <v>0</v>
      </c>
      <c r="Y29">
        <v>2</v>
      </c>
      <c r="Z29" s="1">
        <v>26.385089694943332</v>
      </c>
      <c r="AA29">
        <v>20</v>
      </c>
      <c r="AB29">
        <v>-10</v>
      </c>
    </row>
    <row r="30" spans="1:36" x14ac:dyDescent="0.25">
      <c r="A30">
        <v>27</v>
      </c>
      <c r="B30">
        <v>80</v>
      </c>
      <c r="C30">
        <v>0</v>
      </c>
      <c r="D30">
        <v>2</v>
      </c>
      <c r="E30">
        <v>-11.406000000000001</v>
      </c>
      <c r="F30">
        <v>20</v>
      </c>
      <c r="G30">
        <v>-10</v>
      </c>
      <c r="J30" s="3" cm="1">
        <f t="array" ref="J30">h_ex_td(E30,G30,101325,101325,0,0)</f>
        <v>88.206235057357645</v>
      </c>
      <c r="K30" s="2" cm="1">
        <f t="array" ref="K30">h_ex_td(E30,G30,101325,101325,0,1)</f>
        <v>80.003047725798311</v>
      </c>
      <c r="L30">
        <v>80</v>
      </c>
      <c r="M30" s="1" cm="1">
        <f t="array" ref="M30">td_ex_h(L30,G30,101325,101325,1,0)</f>
        <v>-11.406424444112638</v>
      </c>
      <c r="N30" s="3">
        <f t="shared" si="0"/>
        <v>3.0477257983108075E-3</v>
      </c>
      <c r="O30" s="2" cm="1">
        <f t="array" ref="O30">h2exh1(L30,G30,D30,101325,101325,1)</f>
        <v>32.473956547622571</v>
      </c>
      <c r="P30">
        <v>3</v>
      </c>
      <c r="Q30" s="3" cm="1">
        <f t="array" ref="Q30">ROUND((vapourpress(G30,0)*ef(G30,101325,0))/(vapourpress(G30,1)*ef(G30,101325,1))*100,3)</f>
        <v>90.7</v>
      </c>
      <c r="R30">
        <v>80</v>
      </c>
      <c r="S30" s="2" cm="1">
        <f t="array" ref="S30">td_ex_h(L30,G30,101325,101325,1,0)</f>
        <v>-11.406424444112638</v>
      </c>
      <c r="T30" cm="1">
        <f t="array" ref="T30">h2exh1(R30,G30,D30,101325,101325,1)</f>
        <v>32.473956547622571</v>
      </c>
      <c r="V30">
        <v>27</v>
      </c>
      <c r="W30">
        <v>80</v>
      </c>
      <c r="X30">
        <v>0</v>
      </c>
      <c r="Y30">
        <v>2</v>
      </c>
      <c r="Z30" s="1">
        <v>32.473956547622571</v>
      </c>
      <c r="AA30">
        <v>20</v>
      </c>
      <c r="AB30">
        <v>-10</v>
      </c>
    </row>
    <row r="31" spans="1:36" x14ac:dyDescent="0.25">
      <c r="A31">
        <v>28</v>
      </c>
      <c r="B31">
        <v>150</v>
      </c>
      <c r="C31">
        <v>0</v>
      </c>
      <c r="D31">
        <v>2</v>
      </c>
      <c r="E31">
        <v>-10.087241894094779</v>
      </c>
      <c r="F31">
        <v>10</v>
      </c>
      <c r="G31">
        <v>-10</v>
      </c>
      <c r="J31" s="3" cm="1">
        <f t="array" ref="J31">h_ex_td(E31,G31,101325,101325,0,0)</f>
        <v>99.228234589160962</v>
      </c>
      <c r="K31" s="2" cm="1">
        <f t="array" ref="K31">h_ex_td(E31,G31,101325,101325,0,1)</f>
        <v>90.000000367560943</v>
      </c>
      <c r="L31">
        <v>90</v>
      </c>
      <c r="M31" s="1" cm="1">
        <f t="array" ref="M31">td_ex_h(L31,G31,101325,101325,1,0)</f>
        <v>-10.087241894094779</v>
      </c>
      <c r="N31" s="3">
        <f t="shared" si="0"/>
        <v>3.6756094345946622E-7</v>
      </c>
      <c r="O31" s="2" cm="1">
        <f t="array" ref="O31">h2exh1(L31,G31,D31,101325,101325,1)</f>
        <v>36.533201116075389</v>
      </c>
      <c r="P31">
        <v>3</v>
      </c>
      <c r="Q31" s="3" cm="1">
        <f t="array" ref="Q31">ROUND((vapourpress(G31,0)*ef(G31,101325,0))/(vapourpress(G31,1)*ef(G31,101325,1))*100,3)</f>
        <v>90.7</v>
      </c>
      <c r="R31">
        <v>90</v>
      </c>
      <c r="S31" s="2" cm="1">
        <f t="array" ref="S31">td_ex_h(L31,G31,101325,101325,1,0)</f>
        <v>-10.087241894094779</v>
      </c>
      <c r="T31" cm="1">
        <f t="array" ref="T31">h2exh1(R31,G31,D31,101325,101325,1)</f>
        <v>36.533201116075389</v>
      </c>
      <c r="V31">
        <v>28</v>
      </c>
      <c r="W31">
        <v>80</v>
      </c>
      <c r="X31">
        <v>0</v>
      </c>
      <c r="Y31">
        <v>2</v>
      </c>
      <c r="Z31" s="1">
        <v>38.562823400301802</v>
      </c>
      <c r="AA31">
        <v>10</v>
      </c>
      <c r="AB31">
        <v>-10</v>
      </c>
    </row>
    <row r="32" spans="1:36" x14ac:dyDescent="0.25">
      <c r="A32">
        <v>29</v>
      </c>
      <c r="B32">
        <v>80</v>
      </c>
      <c r="C32">
        <v>0</v>
      </c>
      <c r="D32">
        <v>2</v>
      </c>
      <c r="E32">
        <v>-11.406000000000001</v>
      </c>
      <c r="F32">
        <v>20</v>
      </c>
      <c r="G32">
        <v>-10</v>
      </c>
      <c r="J32" s="3" cm="1">
        <f t="array" ref="J32">h_ex_td(E32,G32,101325,101325,0,0)</f>
        <v>88.206235057357645</v>
      </c>
      <c r="K32" s="2" cm="1">
        <f t="array" ref="K32">h_ex_td(E32,G32,101325,101325,0,1)</f>
        <v>80.003047725798311</v>
      </c>
      <c r="L32">
        <v>80</v>
      </c>
      <c r="M32" s="1" cm="1">
        <f t="array" ref="M32">td_ex_h(L32,G32,101325,101325,1,0)</f>
        <v>-11.406424444112638</v>
      </c>
      <c r="N32" s="3">
        <f t="shared" si="0"/>
        <v>3.0477257983108075E-3</v>
      </c>
      <c r="O32" s="2" cm="1">
        <f t="array" ref="O32">h2exh1(L32,G32,D32,101325,101325,1)</f>
        <v>32.473956547622571</v>
      </c>
      <c r="P32">
        <v>3</v>
      </c>
      <c r="Q32" s="3" cm="1">
        <f t="array" ref="Q32">ROUND((vapourpress(G32,0)*ef(G32,101325,0))/(vapourpress(G32,1)*ef(G32,101325,1))*100,3)</f>
        <v>90.7</v>
      </c>
      <c r="R32">
        <v>80</v>
      </c>
      <c r="S32" s="2" cm="1">
        <f t="array" ref="S32">td_ex_h(L32,G32,101325,101325,1,0)</f>
        <v>-11.406424444112638</v>
      </c>
      <c r="T32" cm="1">
        <f t="array" ref="T32">h2exh1(R32,G32,D32,101325,101325,1)</f>
        <v>32.473956547622571</v>
      </c>
      <c r="V32">
        <v>29</v>
      </c>
      <c r="W32">
        <v>80</v>
      </c>
      <c r="X32">
        <v>0</v>
      </c>
      <c r="Y32">
        <v>2</v>
      </c>
      <c r="Z32" s="1">
        <v>32.473956547622571</v>
      </c>
      <c r="AA32">
        <v>20</v>
      </c>
      <c r="AB32">
        <v>-10</v>
      </c>
    </row>
    <row r="33" spans="1:28" x14ac:dyDescent="0.25">
      <c r="A33">
        <v>30</v>
      </c>
      <c r="B33">
        <v>80</v>
      </c>
      <c r="C33">
        <v>0</v>
      </c>
      <c r="D33">
        <v>2</v>
      </c>
      <c r="E33">
        <v>-13.7</v>
      </c>
      <c r="F33">
        <v>20</v>
      </c>
      <c r="G33">
        <v>-10</v>
      </c>
      <c r="J33" s="3" cm="1">
        <f t="array" ref="J33">h_ex_td(E33,G33,101325,101325,0,0)</f>
        <v>71.664551673945283</v>
      </c>
      <c r="K33" s="2" cm="1">
        <f t="array" ref="K33">h_ex_td(E33,G33,101325,101325,0,1)</f>
        <v>64.999742298153322</v>
      </c>
      <c r="L33">
        <v>65</v>
      </c>
      <c r="M33" s="1" cm="1">
        <f t="array" ref="M33">td_ex_h(L33,G33,101325,101325,1,0)</f>
        <v>-13.699956403974353</v>
      </c>
      <c r="N33" s="3">
        <f t="shared" si="0"/>
        <v>-2.5770184667806006E-4</v>
      </c>
      <c r="O33" s="2" cm="1">
        <f t="array" ref="O33">h2exh1(L33,G33,D33,101325,101325,1)</f>
        <v>26.385089694943332</v>
      </c>
      <c r="P33">
        <v>3</v>
      </c>
      <c r="Q33" s="3" cm="1">
        <f t="array" ref="Q33">ROUND((vapourpress(G33,0)*ef(G33,101325,0))/(vapourpress(G33,1)*ef(G33,101325,1))*100,3)</f>
        <v>90.7</v>
      </c>
      <c r="R33">
        <v>65</v>
      </c>
      <c r="S33" s="2" cm="1">
        <f t="array" ref="S33">td_ex_h(L33,G33,101325,101325,1,0)</f>
        <v>-13.699956403974353</v>
      </c>
      <c r="T33" cm="1">
        <f t="array" ref="T33">h2exh1(R33,G33,D33,101325,101325,1)</f>
        <v>26.385089694943332</v>
      </c>
      <c r="V33">
        <v>30</v>
      </c>
      <c r="W33">
        <v>80</v>
      </c>
      <c r="X33">
        <v>0</v>
      </c>
      <c r="Y33">
        <v>2</v>
      </c>
      <c r="Z33" s="1">
        <v>26.385089694943332</v>
      </c>
      <c r="AA33">
        <v>20</v>
      </c>
      <c r="AB33">
        <v>-10</v>
      </c>
    </row>
    <row r="34" spans="1:28" x14ac:dyDescent="0.25">
      <c r="A34">
        <v>31</v>
      </c>
      <c r="B34">
        <v>80</v>
      </c>
      <c r="C34">
        <v>0</v>
      </c>
      <c r="D34">
        <v>2</v>
      </c>
      <c r="E34">
        <v>-16.541</v>
      </c>
      <c r="F34">
        <v>20</v>
      </c>
      <c r="G34">
        <v>-10</v>
      </c>
      <c r="J34" s="3" cm="1">
        <f t="array" ref="J34">h_ex_td(E34,G34,101325,101325,0,0)</f>
        <v>55.126512291645611</v>
      </c>
      <c r="K34" s="2" cm="1">
        <f t="array" ref="K34">h_ex_td(E34,G34,101325,101325,0,1)</f>
        <v>49.999741979208878</v>
      </c>
      <c r="L34">
        <v>50</v>
      </c>
      <c r="M34" s="1" cm="1">
        <f t="array" ref="M34">td_ex_h(L34,G34,101325,101325,1,0)</f>
        <v>-16.540944360641994</v>
      </c>
      <c r="N34" s="3">
        <f t="shared" si="0"/>
        <v>-2.5802079112224874E-4</v>
      </c>
      <c r="O34" s="2" cm="1">
        <f t="array" ref="O34">h2exh1(L34,G34,D34,101325,101325,1)</f>
        <v>20.296222842264104</v>
      </c>
      <c r="P34">
        <v>3</v>
      </c>
      <c r="Q34" s="3" cm="1">
        <f t="array" ref="Q34">ROUND((vapourpress(G34,0)*ef(G34,101325,0))/(vapourpress(G34,1)*ef(G34,101325,1))*100,3)</f>
        <v>90.7</v>
      </c>
      <c r="R34">
        <v>50</v>
      </c>
      <c r="S34" s="2" cm="1">
        <f t="array" ref="S34">td_ex_h(L34,G34,101325,101325,1,0)</f>
        <v>-16.540944360641994</v>
      </c>
      <c r="T34" cm="1">
        <f t="array" ref="T34">h2exh1(R34,G34,D34,101325,101325,1)</f>
        <v>20.296222842264104</v>
      </c>
      <c r="V34">
        <v>31</v>
      </c>
      <c r="W34">
        <v>80</v>
      </c>
      <c r="X34">
        <v>0</v>
      </c>
      <c r="Y34">
        <v>2</v>
      </c>
      <c r="Z34" s="1">
        <v>20.296222842264104</v>
      </c>
      <c r="AA34">
        <v>20</v>
      </c>
      <c r="AB34">
        <v>-10</v>
      </c>
    </row>
    <row r="35" spans="1:28" x14ac:dyDescent="0.25">
      <c r="A35">
        <v>32</v>
      </c>
      <c r="B35">
        <v>80</v>
      </c>
      <c r="C35">
        <v>0</v>
      </c>
      <c r="D35">
        <v>2</v>
      </c>
      <c r="E35">
        <v>-20.305</v>
      </c>
      <c r="F35">
        <v>20</v>
      </c>
      <c r="G35">
        <v>-10</v>
      </c>
      <c r="H35" t="s">
        <v>22</v>
      </c>
      <c r="J35" s="3" cm="1">
        <f t="array" ref="J35">h_ex_td(E35,G35,101325,101325,0,0)</f>
        <v>38.587345433851517</v>
      </c>
      <c r="K35" s="2" cm="1">
        <f t="array" ref="K35">h_ex_td(E35,G35,101325,101325,0,1)</f>
        <v>34.998719040086499</v>
      </c>
      <c r="L35">
        <v>35</v>
      </c>
      <c r="M35" s="1" cm="1">
        <f t="array" ref="M35">td_ex_h(L35,G35,101325,101325,1,0)</f>
        <v>-20.30461875353938</v>
      </c>
      <c r="N35" s="3">
        <f t="shared" si="0"/>
        <v>-1.2809599135010785E-3</v>
      </c>
      <c r="O35" s="2" cm="1">
        <f t="array" ref="O35">h2exh1(L35,G35,D35,101325,101325,1)</f>
        <v>14.207355989584874</v>
      </c>
      <c r="P35">
        <v>3</v>
      </c>
      <c r="Q35" s="3" cm="1">
        <f t="array" ref="Q35">ROUND((vapourpress(G35,0)*ef(G35,101325,0))/(vapourpress(G35,1)*ef(G35,101325,1))*100,3)</f>
        <v>90.7</v>
      </c>
      <c r="R35">
        <v>35</v>
      </c>
      <c r="S35" s="2" cm="1">
        <f t="array" ref="S35">td_ex_h(L35,G35,101325,101325,1,0)</f>
        <v>-20.30461875353938</v>
      </c>
      <c r="T35" cm="1">
        <f t="array" ref="T35">h2exh1(R35,G35,D35,101325,101325,1)</f>
        <v>14.207355989584874</v>
      </c>
      <c r="V35">
        <v>32</v>
      </c>
      <c r="W35">
        <v>180</v>
      </c>
      <c r="X35">
        <v>0</v>
      </c>
      <c r="Y35">
        <v>-8</v>
      </c>
      <c r="Z35" s="1">
        <v>29.926412180282671</v>
      </c>
      <c r="AA35">
        <v>20</v>
      </c>
      <c r="AB35">
        <v>-10</v>
      </c>
    </row>
    <row r="36" spans="1:28" x14ac:dyDescent="0.25">
      <c r="A36">
        <v>33</v>
      </c>
      <c r="B36">
        <v>80</v>
      </c>
      <c r="C36">
        <v>0</v>
      </c>
      <c r="D36">
        <v>-8</v>
      </c>
      <c r="E36">
        <v>-25.992000000000001</v>
      </c>
      <c r="F36">
        <v>20</v>
      </c>
      <c r="G36">
        <v>-10</v>
      </c>
      <c r="J36" s="3" cm="1">
        <f t="array" ref="J36">h_ex_td(E36,G36,101325,101325,0,0)</f>
        <v>22.050623597736525</v>
      </c>
      <c r="K36" s="2" cm="1">
        <f t="array" ref="K36">h_ex_td(E36,G36,101325,101325,0,1)</f>
        <v>19.999913735419973</v>
      </c>
      <c r="L36">
        <v>20</v>
      </c>
      <c r="M36" s="1" cm="1">
        <f t="array" ref="M36">td_ex_h(L36,G36,101325,101325,1,0)</f>
        <v>-25.991955714271032</v>
      </c>
      <c r="N36" s="3">
        <f t="shared" si="0"/>
        <v>-8.6264580026806925E-5</v>
      </c>
      <c r="O36" s="2" cm="1">
        <f t="array" ref="O36">h2exh1(L36,G36,D36,101325,101325,1)</f>
        <v>17.100806960161528</v>
      </c>
      <c r="P36">
        <v>3</v>
      </c>
      <c r="Q36" s="3" cm="1">
        <f t="array" ref="Q36">ROUND((vapourpress(G36,0)*ef(G36,101325,0))/(vapourpress(G36,1)*ef(G36,101325,1))*100,3)</f>
        <v>90.7</v>
      </c>
      <c r="R36">
        <v>20</v>
      </c>
      <c r="S36" s="2" cm="1">
        <f t="array" ref="S36">td_ex_h(L36,G36,101325,101325,1,0)</f>
        <v>-25.991955714271032</v>
      </c>
      <c r="T36" cm="1">
        <f t="array" ref="T36">h2exh1(R36,G36,D36,101325,101325,1)</f>
        <v>17.100806960161528</v>
      </c>
      <c r="V36">
        <v>33</v>
      </c>
      <c r="W36">
        <v>80</v>
      </c>
      <c r="X36">
        <v>0</v>
      </c>
      <c r="Y36">
        <v>-8</v>
      </c>
      <c r="Z36" s="1">
        <v>17.100806960161528</v>
      </c>
      <c r="AA36">
        <v>20</v>
      </c>
      <c r="AB36">
        <v>-10</v>
      </c>
    </row>
    <row r="37" spans="1:28" x14ac:dyDescent="0.25">
      <c r="A37" s="5">
        <v>34</v>
      </c>
      <c r="B37" s="5" t="s">
        <v>39</v>
      </c>
      <c r="C37" s="5">
        <v>0</v>
      </c>
      <c r="D37" s="5">
        <v>-10</v>
      </c>
      <c r="E37" s="5">
        <v>-28.595685250171826</v>
      </c>
      <c r="F37" s="5">
        <v>20</v>
      </c>
      <c r="G37" s="5">
        <v>-20</v>
      </c>
      <c r="H37" s="5" t="s">
        <v>40</v>
      </c>
      <c r="J37" s="3" cm="1">
        <f t="array" ref="J37">h_ex_td(E37,G37,101325,101325,0,0)</f>
        <v>42.58075068867609</v>
      </c>
      <c r="K37" s="2" cm="1">
        <f t="array" ref="K37">h_ex_td(E37,G37,101325,101325,0,1)</f>
        <v>35.00000658002736</v>
      </c>
      <c r="L37">
        <v>35</v>
      </c>
      <c r="M37" s="1" cm="1">
        <f t="array" ref="M37">td_ex_h(L37,G37,101325,101325,1,0)</f>
        <v>-28.595685250171826</v>
      </c>
      <c r="N37" s="3">
        <f t="shared" si="0"/>
        <v>6.5800273603144888E-6</v>
      </c>
      <c r="O37" s="2" cm="1">
        <f t="array" ref="O37">h2exh1(L37,G37,D37,101325,101325,1)</f>
        <v>15.345822346245063</v>
      </c>
      <c r="P37">
        <v>4</v>
      </c>
      <c r="Q37" s="3" cm="1">
        <f t="array" ref="Q37">ROUND((vapourpress(G37,0)*ef(G37,101325,0))/(vapourpress(G37,1)*ef(G37,101325,1))*100,3)</f>
        <v>82.197000000000003</v>
      </c>
      <c r="R37">
        <v>35</v>
      </c>
      <c r="S37" s="2" cm="1">
        <f t="array" ref="S37">td_ex_h(L37,G37,101325,101325,1,0)</f>
        <v>-28.595685250171826</v>
      </c>
      <c r="T37" cm="1">
        <f t="array" ref="T37">h2exh1(R37,G37,D37,101325,101325,1)</f>
        <v>15.345822346245063</v>
      </c>
      <c r="V37">
        <v>34</v>
      </c>
      <c r="W37">
        <v>150</v>
      </c>
      <c r="X37">
        <v>0</v>
      </c>
      <c r="Y37">
        <v>2</v>
      </c>
      <c r="Z37" s="1">
        <v>3.5595683432821255</v>
      </c>
      <c r="AA37">
        <v>20</v>
      </c>
      <c r="AB37">
        <v>-20</v>
      </c>
    </row>
    <row r="38" spans="1:28" x14ac:dyDescent="0.25">
      <c r="A38" s="5">
        <v>35</v>
      </c>
      <c r="B38" s="5">
        <v>120</v>
      </c>
      <c r="C38" s="5">
        <v>0</v>
      </c>
      <c r="D38" s="5">
        <v>-5</v>
      </c>
      <c r="E38" s="5">
        <v>-25.076760610188899</v>
      </c>
      <c r="F38" s="5">
        <v>20</v>
      </c>
      <c r="G38" s="5">
        <v>-20</v>
      </c>
      <c r="H38" s="5"/>
      <c r="J38" s="3" cm="1">
        <f t="array" ref="J38">h_ex_td(E38,G38,101325,101325,0,0)</f>
        <v>60.829640355185418</v>
      </c>
      <c r="K38" s="2" cm="1">
        <f t="array" ref="K38">h_ex_td(E38,G38,101325,101325,0,1)</f>
        <v>50.00000653483977</v>
      </c>
      <c r="L38">
        <v>50</v>
      </c>
      <c r="M38" s="1" cm="1">
        <f t="array" ref="M38">td_ex_h(L38,G38,101325,101325,1,0)</f>
        <v>-25.076760610188899</v>
      </c>
      <c r="N38" s="3">
        <f t="shared" si="0"/>
        <v>6.5348397697562177E-6</v>
      </c>
      <c r="O38" s="2" cm="1">
        <f t="array" ref="O38">h2exh1(L38,G38,D38,101325,101325,1)</f>
        <v>14.89292890902245</v>
      </c>
      <c r="P38">
        <v>4</v>
      </c>
      <c r="Q38" s="3" cm="1">
        <f t="array" ref="Q38">ROUND((vapourpress(G38,0)*ef(G38,101325,0))/(vapourpress(G38,1)*ef(G38,101325,1))*100,3)</f>
        <v>82.197000000000003</v>
      </c>
      <c r="R38">
        <v>50</v>
      </c>
      <c r="S38" s="2" cm="1">
        <f t="array" ref="S38">td_ex_h(L38,G38,101325,101325,1,0)</f>
        <v>-25.076760610188899</v>
      </c>
      <c r="T38" cm="1">
        <f t="array" ref="T38">h2exh1(R38,G38,D38,101325,101325,1)</f>
        <v>14.89292890902245</v>
      </c>
      <c r="V38">
        <v>35</v>
      </c>
      <c r="W38">
        <v>120</v>
      </c>
      <c r="X38">
        <v>0</v>
      </c>
      <c r="Y38">
        <v>-10</v>
      </c>
      <c r="Z38" s="1">
        <v>15.345822346245063</v>
      </c>
      <c r="AA38">
        <v>20</v>
      </c>
      <c r="AB38">
        <v>-20</v>
      </c>
    </row>
    <row r="39" spans="1:28" x14ac:dyDescent="0.25">
      <c r="A39" s="5">
        <v>36</v>
      </c>
      <c r="B39" s="5">
        <v>80</v>
      </c>
      <c r="C39" s="5">
        <v>0</v>
      </c>
      <c r="D39" s="5">
        <v>1</v>
      </c>
      <c r="E39" s="5">
        <v>-22.422934347641185</v>
      </c>
      <c r="F39" s="5">
        <v>20</v>
      </c>
      <c r="G39" s="5">
        <v>-20</v>
      </c>
      <c r="H39" s="5"/>
      <c r="J39" s="3" cm="1">
        <f t="array" ref="J39">h_ex_td(E39,G39,101325,101325,0,0)</f>
        <v>79.078529565421164</v>
      </c>
      <c r="K39" s="2" cm="1">
        <f t="array" ref="K39">h_ex_td(E39,G39,101325,101325,0,1)</f>
        <v>65.000006114609974</v>
      </c>
      <c r="L39">
        <v>65</v>
      </c>
      <c r="M39" s="1" cm="1">
        <f t="array" ref="M39">td_ex_h(L39,G39,101325,101325,1,0)</f>
        <v>-22.422934347641185</v>
      </c>
      <c r="N39" s="3">
        <f t="shared" si="0"/>
        <v>6.1146099739062265E-6</v>
      </c>
      <c r="O39" s="2" cm="1">
        <f t="array" ref="O39">h2exh1(L39,G39,D39,101325,101325,1)</f>
        <v>12.429318393741452</v>
      </c>
      <c r="P39">
        <v>4</v>
      </c>
      <c r="Q39" s="3" cm="1">
        <f t="array" ref="Q39">ROUND((vapourpress(G39,0)*ef(G39,101325,0))/(vapourpress(G39,1)*ef(G39,101325,1))*100,3)</f>
        <v>82.197000000000003</v>
      </c>
      <c r="R39">
        <v>65</v>
      </c>
      <c r="S39" s="2" cm="1">
        <f t="array" ref="S39">td_ex_h(L39,G39,101325,101325,1,0)</f>
        <v>-22.422934347641185</v>
      </c>
      <c r="T39" cm="1">
        <f t="array" ref="T39">h2exh1(R39,G39,D39,101325,101325,1)</f>
        <v>12.429318393741452</v>
      </c>
      <c r="V39">
        <v>36</v>
      </c>
      <c r="W39">
        <v>80</v>
      </c>
      <c r="X39">
        <v>0</v>
      </c>
      <c r="Y39">
        <v>-10</v>
      </c>
      <c r="Z39" s="1">
        <v>21.922603351778655</v>
      </c>
      <c r="AA39">
        <v>20</v>
      </c>
      <c r="AB39">
        <v>-20</v>
      </c>
    </row>
    <row r="40" spans="1:28" x14ac:dyDescent="0.25">
      <c r="A40" s="5">
        <v>37</v>
      </c>
      <c r="B40" s="5">
        <v>150</v>
      </c>
      <c r="C40" s="5">
        <v>0</v>
      </c>
      <c r="D40" s="5">
        <v>1</v>
      </c>
      <c r="E40" s="5">
        <v>-20.282015716013394</v>
      </c>
      <c r="F40" s="5">
        <v>10</v>
      </c>
      <c r="G40" s="5">
        <v>-20</v>
      </c>
      <c r="H40" s="5"/>
      <c r="J40" s="3" cm="1">
        <f t="array" ref="J40">h_ex_td(E40,G40,101325,101325,0,0)</f>
        <v>97.327418559689178</v>
      </c>
      <c r="K40" s="2" cm="1">
        <f t="array" ref="K40">h_ex_td(E40,G40,101325,101325,0,1)</f>
        <v>80.000005516861663</v>
      </c>
      <c r="L40">
        <v>80</v>
      </c>
      <c r="M40" s="1" cm="1">
        <f t="array" ref="M40">td_ex_h(L40,G40,101325,101325,1,0)</f>
        <v>-20.282015716013394</v>
      </c>
      <c r="N40" s="3">
        <f t="shared" si="0"/>
        <v>5.5168616626133371E-6</v>
      </c>
      <c r="O40" s="2" cm="1">
        <f t="array" ref="O40">h2exh1(L40,G40,D40,101325,101325,1)</f>
        <v>15.297622638451017</v>
      </c>
      <c r="P40">
        <v>4</v>
      </c>
      <c r="Q40" s="3" cm="1">
        <f t="array" ref="Q40">ROUND((vapourpress(G40,0)*ef(G40,101325,0))/(vapourpress(G40,1)*ef(G40,101325,1))*100,3)</f>
        <v>82.197000000000003</v>
      </c>
      <c r="R40">
        <v>80</v>
      </c>
      <c r="S40" s="2" cm="1">
        <f t="array" ref="S40">td_ex_h(L40,G40,101325,101325,1,0)</f>
        <v>-20.282015716013394</v>
      </c>
      <c r="T40" cm="1">
        <f t="array" ref="T40">h2exh1(R40,G40,D40,101325,101325,1)</f>
        <v>15.297622638451017</v>
      </c>
      <c r="V40">
        <v>37</v>
      </c>
      <c r="W40">
        <v>80</v>
      </c>
      <c r="X40">
        <v>0</v>
      </c>
      <c r="Y40">
        <v>-10</v>
      </c>
      <c r="Z40" s="1">
        <v>28.499384357312259</v>
      </c>
      <c r="AA40">
        <v>20</v>
      </c>
      <c r="AB40">
        <v>-20</v>
      </c>
    </row>
    <row r="41" spans="1:28" x14ac:dyDescent="0.25">
      <c r="A41" s="5">
        <v>38</v>
      </c>
      <c r="B41" s="5">
        <v>80</v>
      </c>
      <c r="C41" s="5">
        <v>0</v>
      </c>
      <c r="D41" s="5">
        <v>1</v>
      </c>
      <c r="E41" s="5">
        <v>-22.422934347641185</v>
      </c>
      <c r="F41" s="5">
        <v>20</v>
      </c>
      <c r="G41" s="5">
        <v>-20</v>
      </c>
      <c r="H41" s="5"/>
      <c r="J41" s="3" cm="1">
        <f t="array" ref="J41">h_ex_td(E41,G41,101325,101325,0,0)</f>
        <v>79.078529565421164</v>
      </c>
      <c r="K41" s="2" cm="1">
        <f t="array" ref="K41">h_ex_td(E41,G41,101325,101325,0,1)</f>
        <v>65.000006114609974</v>
      </c>
      <c r="L41">
        <v>65</v>
      </c>
      <c r="M41" s="1" cm="1">
        <f t="array" ref="M41">td_ex_h(L41,G41,101325,101325,1,0)</f>
        <v>-22.422934347641185</v>
      </c>
      <c r="N41" s="3">
        <f t="shared" si="0"/>
        <v>6.1146099739062265E-6</v>
      </c>
      <c r="O41" s="2" cm="1">
        <f t="array" ref="O41">h2exh1(L41,G41,D41,101325,101325,1)</f>
        <v>12.429318393741452</v>
      </c>
      <c r="P41">
        <v>4</v>
      </c>
      <c r="Q41" s="3" cm="1">
        <f t="array" ref="Q41">ROUND((vapourpress(G41,0)*ef(G41,101325,0))/(vapourpress(G41,1)*ef(G41,101325,1))*100,3)</f>
        <v>82.197000000000003</v>
      </c>
      <c r="R41">
        <v>65</v>
      </c>
      <c r="S41" s="2" cm="1">
        <f t="array" ref="S41">td_ex_h(L41,G41,101325,101325,1,0)</f>
        <v>-22.422934347641185</v>
      </c>
      <c r="T41" cm="1">
        <f t="array" ref="T41">h2exh1(R41,G41,D41,101325,101325,1)</f>
        <v>12.429318393741452</v>
      </c>
      <c r="V41">
        <v>38</v>
      </c>
      <c r="W41">
        <v>120</v>
      </c>
      <c r="X41">
        <v>0</v>
      </c>
      <c r="Y41">
        <v>2</v>
      </c>
      <c r="Z41" s="1">
        <v>14.238273373128502</v>
      </c>
      <c r="AA41">
        <v>20</v>
      </c>
      <c r="AB41">
        <v>-20</v>
      </c>
    </row>
    <row r="42" spans="1:28" x14ac:dyDescent="0.25">
      <c r="A42" s="5">
        <v>39</v>
      </c>
      <c r="B42" s="5">
        <v>120</v>
      </c>
      <c r="C42" s="5">
        <v>0</v>
      </c>
      <c r="D42" s="5">
        <v>-5</v>
      </c>
      <c r="E42" s="5">
        <v>-25.076760610188899</v>
      </c>
      <c r="F42" s="5">
        <v>20</v>
      </c>
      <c r="G42" s="5">
        <v>-20</v>
      </c>
      <c r="H42" s="5"/>
      <c r="J42" s="3" cm="1">
        <f t="array" ref="J42">h_ex_td(E42,G42,101325,101325,0,0)</f>
        <v>60.829640355185418</v>
      </c>
      <c r="K42" s="2" cm="1">
        <f t="array" ref="K42">h_ex_td(E42,G42,101325,101325,0,1)</f>
        <v>50.00000653483977</v>
      </c>
      <c r="L42">
        <v>50</v>
      </c>
      <c r="M42" s="1" cm="1">
        <f t="array" ref="M42">td_ex_h(L42,G42,101325,101325,1,0)</f>
        <v>-25.076760610188899</v>
      </c>
      <c r="N42" s="3">
        <f t="shared" si="0"/>
        <v>6.5348397697562177E-6</v>
      </c>
      <c r="O42" s="2" cm="1">
        <f t="array" ref="O42">h2exh1(L42,G42,D42,101325,101325,1)</f>
        <v>14.89292890902245</v>
      </c>
      <c r="P42">
        <v>4</v>
      </c>
      <c r="Q42" s="3" cm="1">
        <f t="array" ref="Q42">ROUND((vapourpress(G42,0)*ef(G42,101325,0))/(vapourpress(G42,1)*ef(G42,101325,1))*100,3)</f>
        <v>82.197000000000003</v>
      </c>
      <c r="R42">
        <v>50</v>
      </c>
      <c r="S42" s="2" cm="1">
        <f t="array" ref="S42">td_ex_h(L42,G42,101325,101325,1,0)</f>
        <v>-25.076760610188899</v>
      </c>
      <c r="T42" cm="1">
        <f t="array" ref="T42">h2exh1(R42,G42,D42,101325,101325,1)</f>
        <v>14.89292890902245</v>
      </c>
      <c r="V42">
        <v>39</v>
      </c>
      <c r="W42">
        <v>80</v>
      </c>
      <c r="X42">
        <v>0</v>
      </c>
      <c r="Y42">
        <v>2</v>
      </c>
      <c r="Z42" s="1">
        <v>11.568597115666909</v>
      </c>
      <c r="AA42">
        <v>10</v>
      </c>
      <c r="AB42">
        <v>-20</v>
      </c>
    </row>
    <row r="43" spans="1:28" x14ac:dyDescent="0.25">
      <c r="A43" s="5">
        <v>40</v>
      </c>
      <c r="B43" s="5">
        <v>120</v>
      </c>
      <c r="C43" s="5">
        <v>0</v>
      </c>
      <c r="D43" s="5">
        <v>-10</v>
      </c>
      <c r="E43" s="5">
        <v>-28.596</v>
      </c>
      <c r="F43" s="5">
        <v>20</v>
      </c>
      <c r="G43" s="5">
        <v>-20</v>
      </c>
      <c r="H43" s="5"/>
      <c r="J43" s="3" cm="1">
        <f t="array" ref="J43">h_ex_td(E43,G43,101325,101325,0,0)</f>
        <v>42.579372720350214</v>
      </c>
      <c r="K43" s="2" cm="1">
        <f t="array" ref="K43">h_ex_td(E43,G43,101325,101325,0,1)</f>
        <v>34.998873934414199</v>
      </c>
      <c r="L43">
        <v>35</v>
      </c>
      <c r="M43" s="1" cm="1">
        <f t="array" ref="M43">td_ex_h(L43,G43,101325,101325,1,0)</f>
        <v>-28.595685250171826</v>
      </c>
      <c r="N43" s="3">
        <f t="shared" si="0"/>
        <v>-1.1260655858009727E-3</v>
      </c>
      <c r="O43" s="2" cm="1">
        <f t="array" ref="O43">h2exh1(L43,G43,D43,101325,101325,1)</f>
        <v>15.345822346245063</v>
      </c>
      <c r="P43">
        <v>4</v>
      </c>
      <c r="Q43" s="3" cm="1">
        <f t="array" ref="Q43">ROUND((vapourpress(G43,0)*ef(G43,101325,0))/(vapourpress(G43,1)*ef(G43,101325,1))*100,3)</f>
        <v>82.197000000000003</v>
      </c>
      <c r="R43">
        <v>35</v>
      </c>
      <c r="S43" s="2" cm="1">
        <f t="array" ref="S43">td_ex_h(L43,G43,101325,101325,1,0)</f>
        <v>-28.595685250171826</v>
      </c>
      <c r="T43" cm="1">
        <f t="array" ref="T43">h2exh1(R43,G43,D43,101325,101325,1)</f>
        <v>15.345822346245063</v>
      </c>
      <c r="V43">
        <v>40</v>
      </c>
      <c r="W43">
        <v>80</v>
      </c>
      <c r="X43">
        <v>0</v>
      </c>
      <c r="Y43">
        <v>2</v>
      </c>
      <c r="Z43" s="1">
        <v>8.8989208582053134</v>
      </c>
      <c r="AA43">
        <v>20</v>
      </c>
      <c r="AB43">
        <v>-20</v>
      </c>
    </row>
    <row r="44" spans="1:28" x14ac:dyDescent="0.25">
      <c r="A44" s="5">
        <v>41</v>
      </c>
      <c r="B44" s="5">
        <v>50</v>
      </c>
      <c r="C44" s="5">
        <v>0</v>
      </c>
      <c r="D44" s="5">
        <v>-10</v>
      </c>
      <c r="E44" s="5">
        <v>-28.595685250171826</v>
      </c>
      <c r="F44" s="5">
        <v>20</v>
      </c>
      <c r="G44" s="5">
        <v>-20</v>
      </c>
      <c r="H44" s="5" t="s">
        <v>38</v>
      </c>
      <c r="J44" s="3" cm="1">
        <f t="array" ref="J44">h_ex_td(E44,G44,101325,101325,0,0)</f>
        <v>42.58075068867609</v>
      </c>
      <c r="K44" s="2" cm="1">
        <f t="array" ref="K44">h_ex_td(E44,G44,101325,101325,0,1)</f>
        <v>35.00000658002736</v>
      </c>
      <c r="L44">
        <v>35</v>
      </c>
      <c r="M44" s="1" cm="1">
        <f t="array" ref="M44">td_ex_h(L44,G44,101325,101325,1,0)</f>
        <v>-28.595685250171826</v>
      </c>
      <c r="N44" s="3">
        <f t="shared" ref="N44:N61" si="1">K44-L44</f>
        <v>6.5800273603144888E-6</v>
      </c>
      <c r="O44" s="2" cm="1">
        <f t="array" ref="O44">h2exh1(L44,G44,D44,101325,101325,1)</f>
        <v>15.345822346245063</v>
      </c>
      <c r="P44">
        <v>4</v>
      </c>
      <c r="Q44" s="3" cm="1">
        <f t="array" ref="Q44">ROUND((vapourpress(G44,0)*ef(G44,101325,0))/(vapourpress(G44,1)*ef(G44,101325,1))*100,3)</f>
        <v>82.197000000000003</v>
      </c>
      <c r="R44">
        <v>35</v>
      </c>
      <c r="S44" s="2" cm="1">
        <f t="array" ref="S44">td_ex_h(L44,G44,101325,101325,1,0)</f>
        <v>-28.595685250171826</v>
      </c>
      <c r="T44" cm="1">
        <f t="array" ref="T44">h2exh1(R44,G44,D44,101325,101325,1)</f>
        <v>15.345822346245063</v>
      </c>
      <c r="V44">
        <v>34</v>
      </c>
      <c r="W44">
        <v>150</v>
      </c>
      <c r="X44">
        <v>0</v>
      </c>
      <c r="Y44">
        <v>2</v>
      </c>
      <c r="Z44" s="1">
        <v>3.5595683432821255</v>
      </c>
      <c r="AA44">
        <v>20</v>
      </c>
      <c r="AB44">
        <v>-20</v>
      </c>
    </row>
    <row r="45" spans="1:28" x14ac:dyDescent="0.25">
      <c r="A45" s="5">
        <v>42</v>
      </c>
      <c r="B45" s="5">
        <v>120</v>
      </c>
      <c r="C45" s="5">
        <v>0</v>
      </c>
      <c r="D45" s="5">
        <v>-5</v>
      </c>
      <c r="E45" s="5">
        <v>-25.076760610188899</v>
      </c>
      <c r="F45" s="5">
        <v>20</v>
      </c>
      <c r="G45" s="5">
        <v>-20</v>
      </c>
      <c r="H45" s="5"/>
      <c r="J45" s="3" cm="1">
        <f t="array" ref="J45">h_ex_td(E45,G45,101325,101325,0,0)</f>
        <v>60.829640355185418</v>
      </c>
      <c r="K45" s="2" cm="1">
        <f t="array" ref="K45">h_ex_td(E45,G45,101325,101325,0,1)</f>
        <v>50.00000653483977</v>
      </c>
      <c r="L45">
        <v>50</v>
      </c>
      <c r="M45" s="1" cm="1">
        <f t="array" ref="M45">td_ex_h(L45,G45,101325,101325,1,0)</f>
        <v>-25.076760610188899</v>
      </c>
      <c r="N45" s="3">
        <f t="shared" si="1"/>
        <v>6.5348397697562177E-6</v>
      </c>
      <c r="O45" s="2" cm="1">
        <f t="array" ref="O45">h2exh1(L45,G45,D45,101325,101325,1)</f>
        <v>14.89292890902245</v>
      </c>
      <c r="P45">
        <v>4</v>
      </c>
      <c r="Q45" s="3" cm="1">
        <f t="array" ref="Q45">ROUND((vapourpress(G45,0)*ef(G45,101325,0))/(vapourpress(G45,1)*ef(G45,101325,1))*100,3)</f>
        <v>82.197000000000003</v>
      </c>
      <c r="R45">
        <v>50</v>
      </c>
      <c r="S45" s="2" cm="1">
        <f t="array" ref="S45">td_ex_h(L45,G45,101325,101325,1,0)</f>
        <v>-25.076760610188899</v>
      </c>
      <c r="T45" cm="1">
        <f t="array" ref="T45">h2exh1(R45,G45,D45,101325,101325,1)</f>
        <v>14.89292890902245</v>
      </c>
      <c r="V45">
        <v>35</v>
      </c>
      <c r="W45">
        <v>120</v>
      </c>
      <c r="X45">
        <v>0</v>
      </c>
      <c r="Y45">
        <v>-10</v>
      </c>
      <c r="Z45" s="1">
        <v>15.345822346245063</v>
      </c>
      <c r="AA45">
        <v>20</v>
      </c>
      <c r="AB45">
        <v>-20</v>
      </c>
    </row>
    <row r="46" spans="1:28" x14ac:dyDescent="0.25">
      <c r="A46" s="5">
        <v>43</v>
      </c>
      <c r="B46" s="5">
        <v>80</v>
      </c>
      <c r="C46" s="5">
        <v>0</v>
      </c>
      <c r="D46" s="5">
        <v>1</v>
      </c>
      <c r="E46" s="5">
        <v>-22.422934347641185</v>
      </c>
      <c r="F46" s="5">
        <v>20</v>
      </c>
      <c r="G46" s="5">
        <v>-20</v>
      </c>
      <c r="H46" s="5"/>
      <c r="J46" s="3" cm="1">
        <f t="array" ref="J46">h_ex_td(E46,G46,101325,101325,0,0)</f>
        <v>79.078529565421164</v>
      </c>
      <c r="K46" s="2" cm="1">
        <f t="array" ref="K46">h_ex_td(E46,G46,101325,101325,0,1)</f>
        <v>65.000006114609974</v>
      </c>
      <c r="L46">
        <v>65</v>
      </c>
      <c r="M46" s="1" cm="1">
        <f t="array" ref="M46">td_ex_h(L46,G46,101325,101325,1,0)</f>
        <v>-22.422934347641185</v>
      </c>
      <c r="N46" s="3">
        <f t="shared" si="1"/>
        <v>6.1146099739062265E-6</v>
      </c>
      <c r="O46" s="2" cm="1">
        <f t="array" ref="O46">h2exh1(L46,G46,D46,101325,101325,1)</f>
        <v>12.429318393741452</v>
      </c>
      <c r="P46">
        <v>4</v>
      </c>
      <c r="Q46" s="3" cm="1">
        <f t="array" ref="Q46">ROUND((vapourpress(G46,0)*ef(G46,101325,0))/(vapourpress(G46,1)*ef(G46,101325,1))*100,3)</f>
        <v>82.197000000000003</v>
      </c>
      <c r="R46">
        <v>65</v>
      </c>
      <c r="S46" s="2" cm="1">
        <f t="array" ref="S46">td_ex_h(L46,G46,101325,101325,1,0)</f>
        <v>-22.422934347641185</v>
      </c>
      <c r="T46" cm="1">
        <f t="array" ref="T46">h2exh1(R46,G46,D46,101325,101325,1)</f>
        <v>12.429318393741452</v>
      </c>
      <c r="V46">
        <v>36</v>
      </c>
      <c r="W46">
        <v>80</v>
      </c>
      <c r="X46">
        <v>0</v>
      </c>
      <c r="Y46">
        <v>-10</v>
      </c>
      <c r="Z46" s="1">
        <v>21.922603351778655</v>
      </c>
      <c r="AA46">
        <v>20</v>
      </c>
      <c r="AB46">
        <v>-20</v>
      </c>
    </row>
    <row r="47" spans="1:28" x14ac:dyDescent="0.25">
      <c r="A47" s="5">
        <v>44</v>
      </c>
      <c r="B47" s="5">
        <v>150</v>
      </c>
      <c r="C47" s="5">
        <v>0</v>
      </c>
      <c r="D47" s="5">
        <v>1</v>
      </c>
      <c r="E47" s="5">
        <v>-20.282015716013394</v>
      </c>
      <c r="F47" s="5">
        <v>10</v>
      </c>
      <c r="G47" s="5">
        <v>-20</v>
      </c>
      <c r="H47" s="5"/>
      <c r="J47" s="3" cm="1">
        <f t="array" ref="J47">h_ex_td(E47,G47,101325,101325,0,0)</f>
        <v>97.327418559689178</v>
      </c>
      <c r="K47" s="2" cm="1">
        <f t="array" ref="K47">h_ex_td(E47,G47,101325,101325,0,1)</f>
        <v>80.000005516861663</v>
      </c>
      <c r="L47">
        <v>80</v>
      </c>
      <c r="M47" s="1" cm="1">
        <f t="array" ref="M47">td_ex_h(L47,G47,101325,101325,1,0)</f>
        <v>-20.282015716013394</v>
      </c>
      <c r="N47" s="3">
        <f t="shared" si="1"/>
        <v>5.5168616626133371E-6</v>
      </c>
      <c r="O47" s="2" cm="1">
        <f t="array" ref="O47">h2exh1(L47,G47,D47,101325,101325,1)</f>
        <v>15.297622638451017</v>
      </c>
      <c r="P47">
        <v>4</v>
      </c>
      <c r="Q47" s="3" cm="1">
        <f t="array" ref="Q47">ROUND((vapourpress(G47,0)*ef(G47,101325,0))/(vapourpress(G47,1)*ef(G47,101325,1))*100,3)</f>
        <v>82.197000000000003</v>
      </c>
      <c r="R47">
        <v>80</v>
      </c>
      <c r="S47" s="2" cm="1">
        <f t="array" ref="S47">td_ex_h(L47,G47,101325,101325,1,0)</f>
        <v>-20.282015716013394</v>
      </c>
      <c r="T47" cm="1">
        <f t="array" ref="T47">h2exh1(R47,G47,D47,101325,101325,1)</f>
        <v>15.297622638451017</v>
      </c>
      <c r="V47">
        <v>37</v>
      </c>
      <c r="W47">
        <v>80</v>
      </c>
      <c r="X47">
        <v>0</v>
      </c>
      <c r="Y47">
        <v>-10</v>
      </c>
      <c r="Z47" s="1">
        <v>28.499384357312259</v>
      </c>
      <c r="AA47">
        <v>20</v>
      </c>
      <c r="AB47">
        <v>-20</v>
      </c>
    </row>
    <row r="48" spans="1:28" x14ac:dyDescent="0.25">
      <c r="A48" s="5">
        <v>45</v>
      </c>
      <c r="B48" s="5">
        <v>80</v>
      </c>
      <c r="C48" s="5">
        <v>0</v>
      </c>
      <c r="D48" s="5">
        <v>1</v>
      </c>
      <c r="E48" s="5">
        <v>-22.422934347641185</v>
      </c>
      <c r="F48" s="5">
        <v>20</v>
      </c>
      <c r="G48" s="5">
        <v>-20</v>
      </c>
      <c r="H48" s="5"/>
      <c r="J48" s="3" cm="1">
        <f t="array" ref="J48">h_ex_td(E48,G48,101325,101325,0,0)</f>
        <v>79.078529565421164</v>
      </c>
      <c r="K48" s="2" cm="1">
        <f t="array" ref="K48">h_ex_td(E48,G48,101325,101325,0,1)</f>
        <v>65.000006114609974</v>
      </c>
      <c r="L48">
        <v>65</v>
      </c>
      <c r="M48" s="1" cm="1">
        <f t="array" ref="M48">td_ex_h(L48,G48,101325,101325,1,0)</f>
        <v>-22.422934347641185</v>
      </c>
      <c r="N48" s="3">
        <f t="shared" si="1"/>
        <v>6.1146099739062265E-6</v>
      </c>
      <c r="O48" s="2" cm="1">
        <f t="array" ref="O48">h2exh1(L48,G48,D48,101325,101325,1)</f>
        <v>12.429318393741452</v>
      </c>
      <c r="P48">
        <v>4</v>
      </c>
      <c r="Q48" s="3" cm="1">
        <f t="array" ref="Q48">ROUND((vapourpress(G48,0)*ef(G48,101325,0))/(vapourpress(G48,1)*ef(G48,101325,1))*100,3)</f>
        <v>82.197000000000003</v>
      </c>
      <c r="R48">
        <v>65</v>
      </c>
      <c r="S48" s="2" cm="1">
        <f t="array" ref="S48">td_ex_h(L48,G48,101325,101325,1,0)</f>
        <v>-22.422934347641185</v>
      </c>
      <c r="T48" cm="1">
        <f t="array" ref="T48">h2exh1(R48,G48,D48,101325,101325,1)</f>
        <v>12.429318393741452</v>
      </c>
      <c r="V48">
        <v>38</v>
      </c>
      <c r="W48">
        <v>120</v>
      </c>
      <c r="X48">
        <v>0</v>
      </c>
      <c r="Y48">
        <v>2</v>
      </c>
      <c r="Z48" s="1">
        <v>14.238273373128502</v>
      </c>
      <c r="AA48">
        <v>20</v>
      </c>
      <c r="AB48">
        <v>-20</v>
      </c>
    </row>
    <row r="49" spans="1:28" x14ac:dyDescent="0.25">
      <c r="A49" s="5">
        <v>46</v>
      </c>
      <c r="B49" s="5">
        <v>120</v>
      </c>
      <c r="C49" s="5">
        <v>0</v>
      </c>
      <c r="D49" s="5">
        <v>-5</v>
      </c>
      <c r="E49" s="5">
        <v>-25.076760610188899</v>
      </c>
      <c r="F49" s="5">
        <v>20</v>
      </c>
      <c r="G49" s="5">
        <v>-20</v>
      </c>
      <c r="H49" s="5"/>
      <c r="J49" s="3" cm="1">
        <f t="array" ref="J49">h_ex_td(E49,G49,101325,101325,0,0)</f>
        <v>60.829640355185418</v>
      </c>
      <c r="K49" s="2" cm="1">
        <f t="array" ref="K49">h_ex_td(E49,G49,101325,101325,0,1)</f>
        <v>50.00000653483977</v>
      </c>
      <c r="L49">
        <v>50</v>
      </c>
      <c r="M49" s="1" cm="1">
        <f t="array" ref="M49">td_ex_h(L49,G49,101325,101325,1,0)</f>
        <v>-25.076760610188899</v>
      </c>
      <c r="N49" s="3">
        <f t="shared" si="1"/>
        <v>6.5348397697562177E-6</v>
      </c>
      <c r="O49" s="2" cm="1">
        <f t="array" ref="O49">h2exh1(L49,G49,D49,101325,101325,1)</f>
        <v>14.89292890902245</v>
      </c>
      <c r="P49">
        <v>4</v>
      </c>
      <c r="Q49" s="3" cm="1">
        <f t="array" ref="Q49">ROUND((vapourpress(G49,0)*ef(G49,101325,0))/(vapourpress(G49,1)*ef(G49,101325,1))*100,3)</f>
        <v>82.197000000000003</v>
      </c>
      <c r="R49">
        <v>50</v>
      </c>
      <c r="S49" s="2" cm="1">
        <f t="array" ref="S49">td_ex_h(L49,G49,101325,101325,1,0)</f>
        <v>-25.076760610188899</v>
      </c>
      <c r="T49" cm="1">
        <f t="array" ref="T49">h2exh1(R49,G49,D49,101325,101325,1)</f>
        <v>14.89292890902245</v>
      </c>
      <c r="V49">
        <v>39</v>
      </c>
      <c r="W49">
        <v>80</v>
      </c>
      <c r="X49">
        <v>0</v>
      </c>
      <c r="Y49">
        <v>2</v>
      </c>
      <c r="Z49" s="1">
        <v>11.568597115666909</v>
      </c>
      <c r="AA49">
        <v>10</v>
      </c>
      <c r="AB49">
        <v>-20</v>
      </c>
    </row>
    <row r="50" spans="1:28" x14ac:dyDescent="0.25">
      <c r="A50" s="5">
        <v>47</v>
      </c>
      <c r="B50" s="5">
        <v>120</v>
      </c>
      <c r="C50" s="5">
        <v>0</v>
      </c>
      <c r="D50" s="5">
        <v>-10</v>
      </c>
      <c r="E50" s="5">
        <v>-28.596</v>
      </c>
      <c r="F50" s="5">
        <v>20</v>
      </c>
      <c r="G50" s="5">
        <v>-20</v>
      </c>
      <c r="H50" s="5"/>
      <c r="J50" s="3" cm="1">
        <f t="array" ref="J50">h_ex_td(E50,G50,101325,101325,0,0)</f>
        <v>42.579372720350214</v>
      </c>
      <c r="K50" s="2" cm="1">
        <f t="array" ref="K50">h_ex_td(E50,G50,101325,101325,0,1)</f>
        <v>34.998873934414199</v>
      </c>
      <c r="L50">
        <v>35</v>
      </c>
      <c r="M50" s="1" cm="1">
        <f t="array" ref="M50">td_ex_h(L50,G50,101325,101325,1,0)</f>
        <v>-28.595685250171826</v>
      </c>
      <c r="N50" s="3">
        <f t="shared" si="1"/>
        <v>-1.1260655858009727E-3</v>
      </c>
      <c r="O50" s="2" cm="1">
        <f t="array" ref="O50">h2exh1(L50,G50,D50,101325,101325,1)</f>
        <v>15.345822346245063</v>
      </c>
      <c r="P50">
        <v>4</v>
      </c>
      <c r="Q50" s="3" cm="1">
        <f t="array" ref="Q50">ROUND((vapourpress(G50,0)*ef(G50,101325,0))/(vapourpress(G50,1)*ef(G50,101325,1))*100,3)</f>
        <v>82.197000000000003</v>
      </c>
      <c r="R50">
        <v>35</v>
      </c>
      <c r="S50" s="2" cm="1">
        <f t="array" ref="S50">td_ex_h(L50,G50,101325,101325,1,0)</f>
        <v>-28.595685250171826</v>
      </c>
      <c r="T50" cm="1">
        <f t="array" ref="T50">h2exh1(R50,G50,D50,101325,101325,1)</f>
        <v>15.345822346245063</v>
      </c>
      <c r="V50">
        <v>40</v>
      </c>
      <c r="W50">
        <v>80</v>
      </c>
      <c r="X50">
        <v>0</v>
      </c>
      <c r="Y50">
        <v>2</v>
      </c>
      <c r="Z50" s="1">
        <v>8.8989208582053134</v>
      </c>
      <c r="AA50">
        <v>20</v>
      </c>
      <c r="AB50">
        <v>-20</v>
      </c>
    </row>
    <row r="51" spans="1:28" x14ac:dyDescent="0.25">
      <c r="A51">
        <v>48</v>
      </c>
      <c r="B51">
        <v>180</v>
      </c>
      <c r="C51">
        <v>0</v>
      </c>
      <c r="D51">
        <v>-8</v>
      </c>
      <c r="E51">
        <v>-25.992000000000001</v>
      </c>
      <c r="F51">
        <v>20</v>
      </c>
      <c r="G51">
        <v>-10</v>
      </c>
      <c r="H51" t="s">
        <v>21</v>
      </c>
      <c r="J51" s="3" cm="1">
        <f t="array" ref="J51">h_ex_td(E51,G51,101325,101325,0,0)</f>
        <v>22.050623597736525</v>
      </c>
      <c r="K51" s="2" cm="1">
        <f t="array" ref="K51">h_ex_td(E51,G51,101325,101325,0,1)</f>
        <v>19.999913735419973</v>
      </c>
      <c r="L51">
        <v>20</v>
      </c>
      <c r="M51" s="1" cm="1">
        <f t="array" ref="M51">td_ex_h(L51,G51,101325,101325,1,0)</f>
        <v>-25.991955714271032</v>
      </c>
      <c r="N51" s="3">
        <f t="shared" si="1"/>
        <v>-8.6264580026806925E-5</v>
      </c>
      <c r="O51" s="2" cm="1">
        <f t="array" ref="O51">h2exh1(L51,G51,D51,101325,101325,1)</f>
        <v>17.100806960161528</v>
      </c>
      <c r="P51">
        <v>3</v>
      </c>
      <c r="Q51" s="3" cm="1">
        <f t="array" ref="Q51">ROUND(vapourpress(G51,0)/vapourpress(G51,1),3)*100</f>
        <v>90.7</v>
      </c>
      <c r="R51">
        <v>20</v>
      </c>
      <c r="S51" s="2" cm="1">
        <f t="array" ref="S51">td_ex_h(L51,G51,101325,101325,1,0)</f>
        <v>-25.991955714271032</v>
      </c>
      <c r="T51" cm="1">
        <f t="array" ref="T51">h2exh1(R51,G51,D51,101325,101325,1)</f>
        <v>17.100806960161528</v>
      </c>
      <c r="V51">
        <v>23</v>
      </c>
      <c r="W51">
        <v>180</v>
      </c>
      <c r="X51">
        <v>0</v>
      </c>
      <c r="Y51">
        <v>-8</v>
      </c>
      <c r="Z51" s="1">
        <v>17.100806960161528</v>
      </c>
      <c r="AA51">
        <v>20</v>
      </c>
      <c r="AB51">
        <v>-10</v>
      </c>
    </row>
    <row r="52" spans="1:28" x14ac:dyDescent="0.25">
      <c r="A52">
        <v>49</v>
      </c>
      <c r="B52">
        <v>80</v>
      </c>
      <c r="C52">
        <v>0</v>
      </c>
      <c r="D52">
        <v>-8</v>
      </c>
      <c r="E52">
        <v>-20.305</v>
      </c>
      <c r="F52">
        <v>20</v>
      </c>
      <c r="G52">
        <v>-10</v>
      </c>
      <c r="J52" s="3" cm="1">
        <f t="array" ref="J52">h_ex_td(E52,G52,101325,101325,0,0)</f>
        <v>38.587345433851517</v>
      </c>
      <c r="K52" s="2" cm="1">
        <f t="array" ref="K52">h_ex_td(E52,G52,101325,101325,0,1)</f>
        <v>34.998719040086499</v>
      </c>
      <c r="L52">
        <v>35</v>
      </c>
      <c r="M52" s="1" cm="1">
        <f t="array" ref="M52">td_ex_h(L52,G52,101325,101325,1,0)</f>
        <v>-20.30461875353938</v>
      </c>
      <c r="N52" s="3">
        <f t="shared" si="1"/>
        <v>-1.2809599135010785E-3</v>
      </c>
      <c r="O52" s="2" cm="1">
        <f t="array" ref="O52">h2exh1(L52,G52,D52,101325,101325,1)</f>
        <v>29.926412180282671</v>
      </c>
      <c r="P52">
        <v>3</v>
      </c>
      <c r="Q52" s="3" cm="1">
        <f t="array" ref="Q52">ROUND((vapourpress(G52,0)*ef(G52,101325,0))/(vapourpress(G52,1)*ef(G52,101325,1))*100,3)</f>
        <v>90.7</v>
      </c>
      <c r="R52">
        <v>35</v>
      </c>
      <c r="S52" s="2" cm="1">
        <f t="array" ref="S52">td_ex_h(L52,G52,101325,101325,1,0)</f>
        <v>-20.30461875353938</v>
      </c>
      <c r="T52" cm="1">
        <f t="array" ref="T52">h2exh1(R52,G52,D52,101325,101325,1)</f>
        <v>29.926412180282671</v>
      </c>
      <c r="V52">
        <v>24</v>
      </c>
      <c r="W52">
        <v>80</v>
      </c>
      <c r="X52">
        <v>0</v>
      </c>
      <c r="Y52">
        <v>-8</v>
      </c>
      <c r="Z52" s="1">
        <v>29.926412180282671</v>
      </c>
      <c r="AA52">
        <v>20</v>
      </c>
      <c r="AB52">
        <v>-10</v>
      </c>
    </row>
    <row r="53" spans="1:28" x14ac:dyDescent="0.25">
      <c r="A53">
        <v>50</v>
      </c>
      <c r="B53">
        <v>80</v>
      </c>
      <c r="C53">
        <v>0</v>
      </c>
      <c r="D53">
        <v>2</v>
      </c>
      <c r="E53">
        <v>-16.541</v>
      </c>
      <c r="F53">
        <v>20</v>
      </c>
      <c r="G53">
        <v>-10</v>
      </c>
      <c r="J53" s="3" cm="1">
        <f t="array" ref="J53">h_ex_td(E53,G53,101325,101325,0,0)</f>
        <v>55.126512291645611</v>
      </c>
      <c r="K53" s="2" cm="1">
        <f t="array" ref="K53">h_ex_td(E53,G53,101325,101325,0,1)</f>
        <v>49.999741979208878</v>
      </c>
      <c r="L53">
        <v>50</v>
      </c>
      <c r="M53" s="1" cm="1">
        <f t="array" ref="M53">td_ex_h(L53,G53,101325,101325,1,0)</f>
        <v>-16.540944360641994</v>
      </c>
      <c r="N53" s="3">
        <f t="shared" si="1"/>
        <v>-2.5802079112224874E-4</v>
      </c>
      <c r="O53" s="2" cm="1">
        <f t="array" ref="O53">h2exh1(L53,G53,D53,101325,101325,1)</f>
        <v>20.296222842264104</v>
      </c>
      <c r="P53">
        <v>3</v>
      </c>
      <c r="Q53" s="3" cm="1">
        <f t="array" ref="Q53">ROUND((vapourpress(G53,0)*ef(G53,101325,0))/(vapourpress(G53,1)*ef(G53,101325,1)),3)*100</f>
        <v>90.7</v>
      </c>
      <c r="R53">
        <v>50</v>
      </c>
      <c r="S53" s="2" cm="1">
        <f t="array" ref="S53">td_ex_h(L53,G53,101325,101325,1,0)</f>
        <v>-16.540944360641994</v>
      </c>
      <c r="T53" cm="1">
        <f t="array" ref="T53">h2exh1(R53,G53,D53,101325,101325,1)</f>
        <v>20.296222842264104</v>
      </c>
      <c r="V53">
        <v>25</v>
      </c>
      <c r="W53">
        <v>80</v>
      </c>
      <c r="X53">
        <v>0</v>
      </c>
      <c r="Y53">
        <v>-8</v>
      </c>
      <c r="Z53" s="1">
        <v>42.752017400403822</v>
      </c>
      <c r="AA53">
        <v>20</v>
      </c>
      <c r="AB53">
        <v>-10</v>
      </c>
    </row>
    <row r="54" spans="1:28" x14ac:dyDescent="0.25">
      <c r="A54">
        <v>51</v>
      </c>
      <c r="B54">
        <v>80</v>
      </c>
      <c r="C54">
        <v>0</v>
      </c>
      <c r="D54">
        <v>2</v>
      </c>
      <c r="E54">
        <v>-13.7</v>
      </c>
      <c r="F54">
        <v>20</v>
      </c>
      <c r="G54">
        <v>-10</v>
      </c>
      <c r="J54" s="3" cm="1">
        <f t="array" ref="J54">h_ex_td(E54,G54,101325,101325,0,0)</f>
        <v>71.664551673945283</v>
      </c>
      <c r="K54" s="2" cm="1">
        <f t="array" ref="K54">h_ex_td(E54,G54,101325,101325,0,1)</f>
        <v>64.999742298153322</v>
      </c>
      <c r="L54">
        <v>65</v>
      </c>
      <c r="M54" s="1" cm="1">
        <f t="array" ref="M54">td_ex_h(L54,G54,101325,101325,1,0)</f>
        <v>-13.699956403974353</v>
      </c>
      <c r="N54" s="3">
        <f t="shared" si="1"/>
        <v>-2.5770184667806006E-4</v>
      </c>
      <c r="O54" s="2" cm="1">
        <f t="array" ref="O54">h2exh1(L54,G54,D54,101325,101325,1)</f>
        <v>26.385089694943332</v>
      </c>
      <c r="P54">
        <v>3</v>
      </c>
      <c r="Q54" s="3" cm="1">
        <f t="array" ref="Q54">ROUND((vapourpress(G54,0)*ef(G54,101325,0))/(vapourpress(G54,1)*ef(G54,101325,1))*100,3)</f>
        <v>90.7</v>
      </c>
      <c r="R54">
        <v>65</v>
      </c>
      <c r="S54" s="2" cm="1">
        <f t="array" ref="S54">td_ex_h(L54,G54,101325,101325,1,0)</f>
        <v>-13.699956403974353</v>
      </c>
      <c r="T54" cm="1">
        <f t="array" ref="T54">h2exh1(R54,G54,D54,101325,101325,1)</f>
        <v>26.385089694943332</v>
      </c>
      <c r="V54">
        <v>26</v>
      </c>
      <c r="W54">
        <v>180</v>
      </c>
      <c r="X54">
        <v>0</v>
      </c>
      <c r="Y54">
        <v>2</v>
      </c>
      <c r="Z54" s="1">
        <v>26.385089694943332</v>
      </c>
      <c r="AA54">
        <v>20</v>
      </c>
      <c r="AB54">
        <v>-10</v>
      </c>
    </row>
    <row r="55" spans="1:28" x14ac:dyDescent="0.25">
      <c r="A55">
        <v>52</v>
      </c>
      <c r="B55">
        <v>80</v>
      </c>
      <c r="C55">
        <v>0</v>
      </c>
      <c r="D55">
        <v>2</v>
      </c>
      <c r="E55">
        <v>-11.406000000000001</v>
      </c>
      <c r="F55">
        <v>20</v>
      </c>
      <c r="G55">
        <v>-10</v>
      </c>
      <c r="J55" s="3" cm="1">
        <f t="array" ref="J55">h_ex_td(E55,G55,101325,101325,0,0)</f>
        <v>88.206235057357645</v>
      </c>
      <c r="K55" s="2" cm="1">
        <f t="array" ref="K55">h_ex_td(E55,G55,101325,101325,0,1)</f>
        <v>80.003047725798311</v>
      </c>
      <c r="L55">
        <v>80</v>
      </c>
      <c r="M55" s="1" cm="1">
        <f t="array" ref="M55">td_ex_h(L55,G55,101325,101325,1,0)</f>
        <v>-11.406424444112638</v>
      </c>
      <c r="N55" s="3">
        <f t="shared" si="1"/>
        <v>3.0477257983108075E-3</v>
      </c>
      <c r="O55" s="2" cm="1">
        <f t="array" ref="O55">h2exh1(L55,G55,D55,101325,101325,1)</f>
        <v>32.473956547622571</v>
      </c>
      <c r="P55">
        <v>3</v>
      </c>
      <c r="Q55" s="3" cm="1">
        <f t="array" ref="Q55">ROUND((vapourpress(G55,0)*ef(G55,101325,0))/(vapourpress(G55,1)*ef(G55,101325,1))*100,3)</f>
        <v>90.7</v>
      </c>
      <c r="R55">
        <v>80</v>
      </c>
      <c r="S55" s="2" cm="1">
        <f t="array" ref="S55">td_ex_h(L55,G55,101325,101325,1,0)</f>
        <v>-11.406424444112638</v>
      </c>
      <c r="T55" cm="1">
        <f t="array" ref="T55">h2exh1(R55,G55,D55,101325,101325,1)</f>
        <v>32.473956547622571</v>
      </c>
      <c r="V55">
        <v>27</v>
      </c>
      <c r="W55">
        <v>80</v>
      </c>
      <c r="X55">
        <v>0</v>
      </c>
      <c r="Y55">
        <v>2</v>
      </c>
      <c r="Z55" s="1">
        <v>32.473956547622571</v>
      </c>
      <c r="AA55">
        <v>20</v>
      </c>
      <c r="AB55">
        <v>-10</v>
      </c>
    </row>
    <row r="56" spans="1:28" x14ac:dyDescent="0.25">
      <c r="A56">
        <v>53</v>
      </c>
      <c r="B56">
        <v>150</v>
      </c>
      <c r="C56">
        <v>0</v>
      </c>
      <c r="D56">
        <v>2</v>
      </c>
      <c r="E56">
        <v>-10.087241894094779</v>
      </c>
      <c r="F56">
        <v>10</v>
      </c>
      <c r="G56">
        <v>-10</v>
      </c>
      <c r="J56" s="3" cm="1">
        <f t="array" ref="J56">h_ex_td(E56,G56,101325,101325,0,0)</f>
        <v>99.228234589160962</v>
      </c>
      <c r="K56" s="2" cm="1">
        <f t="array" ref="K56">h_ex_td(E56,G56,101325,101325,0,1)</f>
        <v>90.000000367560943</v>
      </c>
      <c r="L56">
        <v>90</v>
      </c>
      <c r="M56" s="1" cm="1">
        <f t="array" ref="M56">td_ex_h(L56,G56,101325,101325,1,0)</f>
        <v>-10.087241894094779</v>
      </c>
      <c r="N56" s="3">
        <f t="shared" si="1"/>
        <v>3.6756094345946622E-7</v>
      </c>
      <c r="O56" s="2" cm="1">
        <f t="array" ref="O56">h2exh1(L56,G56,D56,101325,101325,1)</f>
        <v>36.533201116075389</v>
      </c>
      <c r="P56">
        <v>3</v>
      </c>
      <c r="Q56" s="3" cm="1">
        <f t="array" ref="Q56">ROUND((vapourpress(G56,0)*ef(G56,101325,0))/(vapourpress(G56,1)*ef(G56,101325,1))*100,3)</f>
        <v>90.7</v>
      </c>
      <c r="R56">
        <v>90</v>
      </c>
      <c r="S56" s="2" cm="1">
        <f t="array" ref="S56">td_ex_h(L56,G56,101325,101325,1,0)</f>
        <v>-10.087241894094779</v>
      </c>
      <c r="T56" cm="1">
        <f t="array" ref="T56">h2exh1(R56,G56,D56,101325,101325,1)</f>
        <v>36.533201116075389</v>
      </c>
      <c r="V56">
        <v>28</v>
      </c>
      <c r="W56">
        <v>80</v>
      </c>
      <c r="X56">
        <v>0</v>
      </c>
      <c r="Y56">
        <v>2</v>
      </c>
      <c r="Z56" s="1">
        <v>38.562823400301802</v>
      </c>
      <c r="AA56">
        <v>10</v>
      </c>
      <c r="AB56">
        <v>-10</v>
      </c>
    </row>
    <row r="57" spans="1:28" x14ac:dyDescent="0.25">
      <c r="A57">
        <v>54</v>
      </c>
      <c r="B57">
        <v>80</v>
      </c>
      <c r="C57">
        <v>0</v>
      </c>
      <c r="D57">
        <v>2</v>
      </c>
      <c r="E57">
        <v>-11.406000000000001</v>
      </c>
      <c r="F57">
        <v>20</v>
      </c>
      <c r="G57">
        <v>-10</v>
      </c>
      <c r="J57" s="3" cm="1">
        <f t="array" ref="J57">h_ex_td(E57,G57,101325,101325,0,0)</f>
        <v>88.206235057357645</v>
      </c>
      <c r="K57" s="2" cm="1">
        <f t="array" ref="K57">h_ex_td(E57,G57,101325,101325,0,1)</f>
        <v>80.003047725798311</v>
      </c>
      <c r="L57">
        <v>80</v>
      </c>
      <c r="M57" s="1" cm="1">
        <f t="array" ref="M57">td_ex_h(L57,G57,101325,101325,1,0)</f>
        <v>-11.406424444112638</v>
      </c>
      <c r="N57" s="3">
        <f t="shared" si="1"/>
        <v>3.0477257983108075E-3</v>
      </c>
      <c r="O57" s="2" cm="1">
        <f t="array" ref="O57">h2exh1(L57,G57,D57,101325,101325,1)</f>
        <v>32.473956547622571</v>
      </c>
      <c r="P57">
        <v>3</v>
      </c>
      <c r="Q57" s="3" cm="1">
        <f t="array" ref="Q57">ROUND((vapourpress(G57,0)*ef(G57,101325,0))/(vapourpress(G57,1)*ef(G57,101325,1))*100,3)</f>
        <v>90.7</v>
      </c>
      <c r="R57">
        <v>80</v>
      </c>
      <c r="S57" s="2" cm="1">
        <f t="array" ref="S57">td_ex_h(L57,G57,101325,101325,1,0)</f>
        <v>-11.406424444112638</v>
      </c>
      <c r="T57" cm="1">
        <f t="array" ref="T57">h2exh1(R57,G57,D57,101325,101325,1)</f>
        <v>32.473956547622571</v>
      </c>
      <c r="V57">
        <v>29</v>
      </c>
      <c r="W57">
        <v>80</v>
      </c>
      <c r="X57">
        <v>0</v>
      </c>
      <c r="Y57">
        <v>2</v>
      </c>
      <c r="Z57" s="1">
        <v>32.473956547622571</v>
      </c>
      <c r="AA57">
        <v>20</v>
      </c>
      <c r="AB57">
        <v>-10</v>
      </c>
    </row>
    <row r="58" spans="1:28" x14ac:dyDescent="0.25">
      <c r="A58">
        <v>55</v>
      </c>
      <c r="B58">
        <v>80</v>
      </c>
      <c r="C58">
        <v>0</v>
      </c>
      <c r="D58">
        <v>2</v>
      </c>
      <c r="E58">
        <v>-13.7</v>
      </c>
      <c r="F58">
        <v>20</v>
      </c>
      <c r="G58">
        <v>-10</v>
      </c>
      <c r="J58" s="3" cm="1">
        <f t="array" ref="J58">h_ex_td(E58,G58,101325,101325,0,0)</f>
        <v>71.664551673945283</v>
      </c>
      <c r="K58" s="2" cm="1">
        <f t="array" ref="K58">h_ex_td(E58,G58,101325,101325,0,1)</f>
        <v>64.999742298153322</v>
      </c>
      <c r="L58">
        <v>65</v>
      </c>
      <c r="M58" s="1" cm="1">
        <f t="array" ref="M58">td_ex_h(L58,G58,101325,101325,1,0)</f>
        <v>-13.699956403974353</v>
      </c>
      <c r="N58" s="3">
        <f t="shared" si="1"/>
        <v>-2.5770184667806006E-4</v>
      </c>
      <c r="O58" s="2" cm="1">
        <f t="array" ref="O58">h2exh1(L58,G58,D58,101325,101325,1)</f>
        <v>26.385089694943332</v>
      </c>
      <c r="P58">
        <v>3</v>
      </c>
      <c r="Q58" s="3" cm="1">
        <f t="array" ref="Q58">ROUND((vapourpress(G58,0)*ef(G58,101325,0))/(vapourpress(G58,1)*ef(G58,101325,1))*100,3)</f>
        <v>90.7</v>
      </c>
      <c r="R58">
        <v>65</v>
      </c>
      <c r="S58" s="2" cm="1">
        <f t="array" ref="S58">td_ex_h(L58,G58,101325,101325,1,0)</f>
        <v>-13.699956403974353</v>
      </c>
      <c r="T58" cm="1">
        <f t="array" ref="T58">h2exh1(R58,G58,D58,101325,101325,1)</f>
        <v>26.385089694943332</v>
      </c>
      <c r="V58">
        <v>30</v>
      </c>
      <c r="W58">
        <v>80</v>
      </c>
      <c r="X58">
        <v>0</v>
      </c>
      <c r="Y58">
        <v>2</v>
      </c>
      <c r="Z58" s="1">
        <v>26.385089694943332</v>
      </c>
      <c r="AA58">
        <v>20</v>
      </c>
      <c r="AB58">
        <v>-10</v>
      </c>
    </row>
    <row r="59" spans="1:28" x14ac:dyDescent="0.25">
      <c r="A59">
        <v>56</v>
      </c>
      <c r="B59">
        <v>80</v>
      </c>
      <c r="C59">
        <v>0</v>
      </c>
      <c r="D59">
        <v>2</v>
      </c>
      <c r="E59">
        <v>-16.541</v>
      </c>
      <c r="F59">
        <v>20</v>
      </c>
      <c r="G59">
        <v>-10</v>
      </c>
      <c r="J59" s="3" cm="1">
        <f t="array" ref="J59">h_ex_td(E59,G59,101325,101325,0,0)</f>
        <v>55.126512291645611</v>
      </c>
      <c r="K59" s="2" cm="1">
        <f t="array" ref="K59">h_ex_td(E59,G59,101325,101325,0,1)</f>
        <v>49.999741979208878</v>
      </c>
      <c r="L59">
        <v>50</v>
      </c>
      <c r="M59" s="1" cm="1">
        <f t="array" ref="M59">td_ex_h(L59,G59,101325,101325,1,0)</f>
        <v>-16.540944360641994</v>
      </c>
      <c r="N59" s="3">
        <f t="shared" si="1"/>
        <v>-2.5802079112224874E-4</v>
      </c>
      <c r="O59" s="2" cm="1">
        <f t="array" ref="O59">h2exh1(L59,G59,D59,101325,101325,1)</f>
        <v>20.296222842264104</v>
      </c>
      <c r="P59">
        <v>3</v>
      </c>
      <c r="Q59" s="3" cm="1">
        <f t="array" ref="Q59">ROUND((vapourpress(G59,0)*ef(G59,101325,0))/(vapourpress(G59,1)*ef(G59,101325,1))*100,3)</f>
        <v>90.7</v>
      </c>
      <c r="R59">
        <v>50</v>
      </c>
      <c r="S59" s="2" cm="1">
        <f t="array" ref="S59">td_ex_h(L59,G59,101325,101325,1,0)</f>
        <v>-16.540944360641994</v>
      </c>
      <c r="T59" cm="1">
        <f t="array" ref="T59">h2exh1(R59,G59,D59,101325,101325,1)</f>
        <v>20.296222842264104</v>
      </c>
      <c r="V59">
        <v>31</v>
      </c>
      <c r="W59">
        <v>80</v>
      </c>
      <c r="X59">
        <v>0</v>
      </c>
      <c r="Y59">
        <v>2</v>
      </c>
      <c r="Z59" s="1">
        <v>20.296222842264104</v>
      </c>
      <c r="AA59">
        <v>20</v>
      </c>
      <c r="AB59">
        <v>-10</v>
      </c>
    </row>
    <row r="60" spans="1:28" x14ac:dyDescent="0.25">
      <c r="A60">
        <v>57</v>
      </c>
      <c r="B60">
        <v>80</v>
      </c>
      <c r="C60">
        <v>0</v>
      </c>
      <c r="D60">
        <v>2</v>
      </c>
      <c r="E60">
        <v>-20.305</v>
      </c>
      <c r="F60">
        <v>20</v>
      </c>
      <c r="G60">
        <v>-10</v>
      </c>
      <c r="J60" s="3" cm="1">
        <f t="array" ref="J60">h_ex_td(E60,G60,101325,101325,0,0)</f>
        <v>38.587345433851517</v>
      </c>
      <c r="K60" s="2" cm="1">
        <f t="array" ref="K60">h_ex_td(E60,G60,101325,101325,0,1)</f>
        <v>34.998719040086499</v>
      </c>
      <c r="L60">
        <v>35</v>
      </c>
      <c r="M60" s="1" cm="1">
        <f t="array" ref="M60">td_ex_h(L60,G60,101325,101325,1,0)</f>
        <v>-20.30461875353938</v>
      </c>
      <c r="N60" s="3">
        <f t="shared" si="1"/>
        <v>-1.2809599135010785E-3</v>
      </c>
      <c r="O60" s="2" cm="1">
        <f t="array" ref="O60">h2exh1(L60,G60,D60,101325,101325,1)</f>
        <v>14.207355989584874</v>
      </c>
      <c r="P60">
        <v>3</v>
      </c>
      <c r="Q60" s="3" cm="1">
        <f t="array" ref="Q60">ROUND((vapourpress(G60,0)*ef(G60,101325,0))/(vapourpress(G60,1)*ef(G60,101325,1))*100,3)</f>
        <v>90.7</v>
      </c>
      <c r="R60">
        <v>35</v>
      </c>
      <c r="S60" s="2" cm="1">
        <f t="array" ref="S60">td_ex_h(L60,G60,101325,101325,1,0)</f>
        <v>-20.30461875353938</v>
      </c>
      <c r="T60" cm="1">
        <f t="array" ref="T60">h2exh1(R60,G60,D60,101325,101325,1)</f>
        <v>14.207355989584874</v>
      </c>
      <c r="V60">
        <v>32</v>
      </c>
      <c r="W60">
        <v>180</v>
      </c>
      <c r="X60">
        <v>0</v>
      </c>
      <c r="Y60">
        <v>-8</v>
      </c>
      <c r="Z60" s="1">
        <v>29.926412180282671</v>
      </c>
      <c r="AA60">
        <v>20</v>
      </c>
      <c r="AB60">
        <v>-10</v>
      </c>
    </row>
    <row r="61" spans="1:28" x14ac:dyDescent="0.25">
      <c r="A61">
        <v>58</v>
      </c>
      <c r="B61">
        <v>80</v>
      </c>
      <c r="C61">
        <v>0</v>
      </c>
      <c r="D61">
        <v>-8</v>
      </c>
      <c r="E61">
        <v>-25.992000000000001</v>
      </c>
      <c r="F61">
        <v>20</v>
      </c>
      <c r="G61">
        <v>-10</v>
      </c>
      <c r="J61" s="3" cm="1">
        <f t="array" ref="J61">h_ex_td(E61,G61,101325,101325,0,0)</f>
        <v>22.050623597736525</v>
      </c>
      <c r="K61" s="2" cm="1">
        <f t="array" ref="K61">h_ex_td(E61,G61,101325,101325,0,1)</f>
        <v>19.999913735419973</v>
      </c>
      <c r="L61">
        <v>20</v>
      </c>
      <c r="M61" s="1" cm="1">
        <f t="array" ref="M61">td_ex_h(L61,G61,101325,101325,1,0)</f>
        <v>-25.991955714271032</v>
      </c>
      <c r="N61" s="3">
        <f t="shared" si="1"/>
        <v>-8.6264580026806925E-5</v>
      </c>
      <c r="O61" s="2" cm="1">
        <f t="array" ref="O61">h2exh1(L61,G61,D61,101325,101325,1)</f>
        <v>17.100806960161528</v>
      </c>
      <c r="P61">
        <v>3</v>
      </c>
      <c r="Q61" s="3" cm="1">
        <f t="array" ref="Q61">ROUND((vapourpress(G61,0)*ef(G61,101325,0))/(vapourpress(G61,1)*ef(G61,101325,1))*100,3)</f>
        <v>90.7</v>
      </c>
      <c r="R61">
        <v>20</v>
      </c>
      <c r="S61" s="2" cm="1">
        <f t="array" ref="S61">td_ex_h(L61,G61,101325,101325,1,0)</f>
        <v>-25.991955714271032</v>
      </c>
      <c r="T61" cm="1">
        <f t="array" ref="T61">h2exh1(R61,G61,D61,101325,101325,1)</f>
        <v>17.100806960161528</v>
      </c>
      <c r="V61">
        <v>33</v>
      </c>
      <c r="W61">
        <v>80</v>
      </c>
      <c r="X61">
        <v>0</v>
      </c>
      <c r="Y61">
        <v>-8</v>
      </c>
      <c r="Z61" s="1">
        <v>17.100806960161528</v>
      </c>
      <c r="AA61">
        <v>20</v>
      </c>
      <c r="AB61">
        <v>-10</v>
      </c>
    </row>
    <row r="62" spans="1:28" x14ac:dyDescent="0.25">
      <c r="A62">
        <v>59</v>
      </c>
      <c r="B62">
        <v>180</v>
      </c>
      <c r="C62">
        <v>0</v>
      </c>
      <c r="D62">
        <v>2</v>
      </c>
      <c r="E62">
        <v>-18.230600735851418</v>
      </c>
      <c r="F62">
        <v>20</v>
      </c>
      <c r="G62">
        <v>0</v>
      </c>
      <c r="J62" s="3" cm="1">
        <f t="array" ref="J62">h_ex_td(E62,G62,101325,101325,0,0)</f>
        <v>20.001937035420127</v>
      </c>
      <c r="K62" s="2" cm="1">
        <f t="array" ref="K62">h_ex_td(E62,G62,101325,101325,0,1)</f>
        <v>20.000000974572821</v>
      </c>
      <c r="L62">
        <v>20</v>
      </c>
      <c r="M62" s="1" cm="1">
        <f t="array" ref="M62">td_ex_h(L62,G62,101325,101325,1,0)</f>
        <v>-18.230600735851418</v>
      </c>
      <c r="N62" s="3">
        <f t="shared" si="0"/>
        <v>9.7457282066670814E-7</v>
      </c>
      <c r="O62" s="2" cm="1">
        <f t="array" ref="O62">h2exh1(L62,G62,D62,101325,101325,1)</f>
        <v>17.315728983223917</v>
      </c>
      <c r="P62">
        <v>5</v>
      </c>
      <c r="Q62" s="3" cm="1">
        <f t="array" ref="Q62">ROUND((vapourpress(G62,0)*ef(G62,101325,0))/(vapourpress(G62,1)*ef(G62,101325,1))*100,3)</f>
        <v>99.99</v>
      </c>
      <c r="R62">
        <v>20</v>
      </c>
      <c r="S62" s="2" cm="1">
        <f t="array" ref="S62">td_ex_h(L62,G62,101325,101325,1,0)</f>
        <v>-18.230600735851418</v>
      </c>
      <c r="T62" cm="1">
        <f t="array" ref="T62">h2exh1(R62,G62,D62,101325,101325,1)</f>
        <v>17.315728983223917</v>
      </c>
      <c r="V62">
        <v>51</v>
      </c>
      <c r="W62">
        <v>80</v>
      </c>
      <c r="X62">
        <v>0</v>
      </c>
      <c r="Y62">
        <v>2</v>
      </c>
      <c r="Z62" s="1">
        <v>8.1184891369056427</v>
      </c>
      <c r="AA62">
        <v>20</v>
      </c>
      <c r="AB62">
        <v>-10</v>
      </c>
    </row>
    <row r="63" spans="1:28" x14ac:dyDescent="0.25">
      <c r="A63">
        <v>60</v>
      </c>
      <c r="B63">
        <v>80</v>
      </c>
      <c r="C63">
        <v>0</v>
      </c>
      <c r="D63">
        <v>2</v>
      </c>
      <c r="E63">
        <v>-12.175378906092927</v>
      </c>
      <c r="F63">
        <v>20</v>
      </c>
      <c r="G63">
        <v>0</v>
      </c>
      <c r="J63" s="3" cm="1">
        <f t="array" ref="J63">h_ex_td(E63,G63,101325,101325,0,0)</f>
        <v>35.003388473130812</v>
      </c>
      <c r="K63" s="2" cm="1">
        <f t="array" ref="K63">h_ex_td(E63,G63,101325,101325,0,1)</f>
        <v>35.00000036677762</v>
      </c>
      <c r="L63">
        <v>20</v>
      </c>
      <c r="M63" s="1" cm="1">
        <f t="array" ref="M63">td_ex_h(L63,G63,101325,101325,1,0)</f>
        <v>-18.230600735851418</v>
      </c>
      <c r="N63" s="3">
        <f t="shared" si="0"/>
        <v>15.00000036677762</v>
      </c>
      <c r="O63" s="2" cm="1">
        <f t="array" ref="O63">h2exh1(L63,G63,D63,101325,101325,1)</f>
        <v>17.315728983223917</v>
      </c>
      <c r="P63">
        <v>6</v>
      </c>
      <c r="Q63" s="3" cm="1">
        <f t="array" ref="Q63">ROUND((vapourpress(G63,0)*ef(G63,101325,0))/(vapourpress(G63,1)*ef(G63,101325,1))*100,3)</f>
        <v>99.99</v>
      </c>
      <c r="R63">
        <v>20</v>
      </c>
      <c r="S63" s="2" cm="1">
        <f t="array" ref="S63">td_ex_h(L63,G63,101325,101325,1,0)</f>
        <v>-18.230600735851418</v>
      </c>
      <c r="T63" cm="1">
        <f t="array" ref="T63">h2exh1(R63,G63,D63,101325,101325,1)</f>
        <v>17.315728983223917</v>
      </c>
      <c r="V63">
        <v>52</v>
      </c>
      <c r="W63">
        <v>80</v>
      </c>
      <c r="X63">
        <v>0</v>
      </c>
      <c r="Y63">
        <v>2</v>
      </c>
      <c r="Z63" s="1">
        <v>17.315728983223917</v>
      </c>
      <c r="AA63">
        <v>20</v>
      </c>
      <c r="AB63">
        <v>-10</v>
      </c>
    </row>
    <row r="64" spans="1:28" x14ac:dyDescent="0.25">
      <c r="A64">
        <v>61</v>
      </c>
      <c r="B64">
        <v>80</v>
      </c>
      <c r="C64">
        <v>0</v>
      </c>
      <c r="D64">
        <v>-8</v>
      </c>
      <c r="E64">
        <v>-8.1631128878586061</v>
      </c>
      <c r="F64">
        <v>20</v>
      </c>
      <c r="G64">
        <v>0</v>
      </c>
      <c r="J64" s="3" cm="1">
        <f t="array" ref="J64">h_ex_td(E64,G64,101325,101325,0,0)</f>
        <v>50.004840188476152</v>
      </c>
      <c r="K64" s="2" cm="1">
        <f t="array" ref="K64">h_ex_td(E64,G64,101325,101325,0,1)</f>
        <v>50.000000036590194</v>
      </c>
      <c r="L64">
        <v>35</v>
      </c>
      <c r="M64" s="1" cm="1">
        <f t="array" ref="M64">td_ex_h(L64,G64,101325,101325,1,0)</f>
        <v>-12.175378906092927</v>
      </c>
      <c r="N64" s="3">
        <f t="shared" si="0"/>
        <v>15.000000036590194</v>
      </c>
      <c r="O64" s="2" cm="1">
        <f t="array" ref="O64">h2exh1(L64,G64,D64,101325,101325,1)</f>
        <v>63.829320211609804</v>
      </c>
      <c r="P64">
        <v>6</v>
      </c>
      <c r="Q64" s="3" cm="1">
        <f t="array" ref="Q64">ROUND((vapourpress(G64,0)*ef(G64,101325,0))/(vapourpress(G64,1)*ef(G64,101325,1))*100,3)</f>
        <v>99.99</v>
      </c>
      <c r="R64">
        <v>35</v>
      </c>
      <c r="S64" s="2" cm="1">
        <f t="array" ref="S64">td_ex_h(L64,G64,101325,101325,1,0)</f>
        <v>-12.175378906092927</v>
      </c>
      <c r="T64" cm="1">
        <f t="array" ref="T64">h2exh1(R64,G64,D64,101325,101325,1)</f>
        <v>63.829320211609804</v>
      </c>
      <c r="V64">
        <v>53</v>
      </c>
      <c r="W64">
        <v>80</v>
      </c>
      <c r="X64">
        <v>0</v>
      </c>
      <c r="Y64">
        <v>2</v>
      </c>
      <c r="Z64" s="1">
        <v>30.302525720641853</v>
      </c>
      <c r="AA64">
        <v>20</v>
      </c>
      <c r="AB64">
        <v>-10</v>
      </c>
    </row>
    <row r="65" spans="1:28" x14ac:dyDescent="0.25">
      <c r="A65">
        <v>62</v>
      </c>
      <c r="B65">
        <v>80</v>
      </c>
      <c r="C65">
        <v>0</v>
      </c>
      <c r="D65">
        <v>-8</v>
      </c>
      <c r="E65">
        <v>-5.1317493713567792</v>
      </c>
      <c r="F65">
        <v>20</v>
      </c>
      <c r="G65">
        <v>0</v>
      </c>
      <c r="J65" s="3" cm="1">
        <f t="array" ref="J65">h_ex_td(E65,G65,101325,101325,0,0)</f>
        <v>65.00629219744738</v>
      </c>
      <c r="K65" s="2" cm="1">
        <f t="array" ref="K65">h_ex_td(E65,G65,101325,101325,0,1)</f>
        <v>65.000000000000242</v>
      </c>
      <c r="L65">
        <v>50</v>
      </c>
      <c r="M65" s="1" cm="1">
        <f t="array" ref="M65">td_ex_h(L65,G65,101325,101325,1,0)</f>
        <v>-8.1631128878586061</v>
      </c>
      <c r="N65" s="3">
        <f t="shared" si="0"/>
        <v>15.000000000000242</v>
      </c>
      <c r="O65" s="2" cm="1">
        <f t="array" ref="O65">h2exh1(L65,G65,D65,101325,101325,1)</f>
        <v>91.18474315944259</v>
      </c>
      <c r="P65">
        <v>6</v>
      </c>
      <c r="Q65" s="3" cm="1">
        <f t="array" ref="Q65">ROUND((vapourpress(G65,0)*ef(G65,101325,0))/(vapourpress(G65,1)*ef(G65,101325,1))*100,3)</f>
        <v>99.99</v>
      </c>
      <c r="R65">
        <v>50</v>
      </c>
      <c r="S65" s="2" cm="1">
        <f t="array" ref="S65">td_ex_h(L65,G65,101325,101325,1,0)</f>
        <v>-8.1631128878586061</v>
      </c>
      <c r="T65" cm="1">
        <f t="array" ref="T65">h2exh1(R65,G65,D65,101325,101325,1)</f>
        <v>91.18474315944259</v>
      </c>
      <c r="V65">
        <v>54</v>
      </c>
      <c r="W65">
        <v>180</v>
      </c>
      <c r="X65">
        <v>0</v>
      </c>
      <c r="Y65">
        <v>-8</v>
      </c>
      <c r="Z65" s="1">
        <v>91.18474315944259</v>
      </c>
      <c r="AA65">
        <v>20</v>
      </c>
      <c r="AB65">
        <v>-10</v>
      </c>
    </row>
    <row r="66" spans="1:28" x14ac:dyDescent="0.25">
      <c r="A66">
        <v>63</v>
      </c>
      <c r="B66">
        <v>80</v>
      </c>
      <c r="C66">
        <v>0</v>
      </c>
      <c r="D66">
        <v>2</v>
      </c>
      <c r="E66">
        <v>-2.6828073289003922</v>
      </c>
      <c r="F66">
        <v>20</v>
      </c>
      <c r="G66">
        <v>0</v>
      </c>
      <c r="J66" s="3" cm="1">
        <f t="array" ref="J66">h_ex_td(E66,G66,101325,101325,0,0)</f>
        <v>80.007744243012553</v>
      </c>
      <c r="K66" s="2" cm="1">
        <f t="array" ref="K66">h_ex_td(E66,G66,101325,101325,0,1)</f>
        <v>80.000000000000696</v>
      </c>
      <c r="L66">
        <v>65</v>
      </c>
      <c r="M66" s="1" cm="1">
        <f t="array" ref="M66">td_ex_h(L66,G66,101325,101325,1,0)</f>
        <v>-5.1317493713567792</v>
      </c>
      <c r="N66" s="3">
        <f t="shared" si="0"/>
        <v>15.000000000000696</v>
      </c>
      <c r="O66" s="2" cm="1">
        <f t="array" ref="O66">h2exh1(L66,G66,D66,101325,101325,1)</f>
        <v>56.276119195477726</v>
      </c>
      <c r="P66">
        <v>6</v>
      </c>
      <c r="Q66" s="3" cm="1">
        <f t="array" ref="Q66">ROUND((vapourpress(G66,0)*ef(G66,101325,0))/(vapourpress(G66,1)*ef(G66,101325,1))*100,3)</f>
        <v>99.99</v>
      </c>
      <c r="R66">
        <v>65</v>
      </c>
      <c r="S66" s="2" cm="1">
        <f t="array" ref="S66">td_ex_h(L66,G66,101325,101325,1,0)</f>
        <v>-5.1317493713567792</v>
      </c>
      <c r="T66" cm="1">
        <f t="array" ref="T66">h2exh1(R66,G66,D66,101325,101325,1)</f>
        <v>56.276119195477726</v>
      </c>
      <c r="V66">
        <v>55</v>
      </c>
      <c r="W66">
        <v>80</v>
      </c>
      <c r="X66">
        <v>0</v>
      </c>
      <c r="Y66">
        <v>-8</v>
      </c>
      <c r="Z66" s="1">
        <v>118.54016610727534</v>
      </c>
      <c r="AA66">
        <v>20</v>
      </c>
      <c r="AB66">
        <v>-10</v>
      </c>
    </row>
    <row r="67" spans="1:28" x14ac:dyDescent="0.25">
      <c r="A67">
        <v>64</v>
      </c>
      <c r="B67">
        <v>150</v>
      </c>
      <c r="C67">
        <v>0</v>
      </c>
      <c r="D67">
        <v>2</v>
      </c>
      <c r="E67">
        <v>-0.52166675272670404</v>
      </c>
      <c r="F67">
        <v>10</v>
      </c>
      <c r="G67">
        <v>0</v>
      </c>
      <c r="J67" s="3" cm="1">
        <f t="array" ref="J67">h_ex_td(E67,G67,101325,101325,0,0)</f>
        <v>95.798289094683739</v>
      </c>
      <c r="K67" s="2" cm="1">
        <f t="array" ref="K67">h_ex_td(E67,G67,101325,101325,0,1)</f>
        <v>95.789016426920284</v>
      </c>
      <c r="L67">
        <v>80</v>
      </c>
      <c r="M67" s="1" cm="1">
        <f t="array" ref="M67">td_ex_h(L67,G67,101325,101325,1,0)</f>
        <v>-2.6828073289003922</v>
      </c>
      <c r="N67" s="3">
        <f t="shared" si="0"/>
        <v>15.789016426920284</v>
      </c>
      <c r="O67" s="2" cm="1">
        <f t="array" ref="O67">h2exh1(L67,G67,D67,101325,101325,1)</f>
        <v>69.262915932895666</v>
      </c>
      <c r="P67">
        <v>6</v>
      </c>
      <c r="Q67" s="3" cm="1">
        <f t="array" ref="Q67">ROUND((vapourpress(G67,0)*ef(G67,101325,0))/(vapourpress(G67,1)*ef(G67,101325,1))*100,3)</f>
        <v>99.99</v>
      </c>
      <c r="R67">
        <v>80</v>
      </c>
      <c r="S67" s="2" cm="1">
        <f t="array" ref="S67">td_ex_h(L67,G67,101325,101325,1,0)</f>
        <v>-2.6828073289003922</v>
      </c>
      <c r="T67" cm="1">
        <f t="array" ref="T67">h2exh1(R67,G67,D67,101325,101325,1)</f>
        <v>69.262915932895666</v>
      </c>
      <c r="V67">
        <v>56</v>
      </c>
      <c r="W67">
        <v>180</v>
      </c>
      <c r="X67">
        <v>0</v>
      </c>
      <c r="Y67">
        <v>2</v>
      </c>
      <c r="Z67" s="1">
        <v>69.262915932895666</v>
      </c>
      <c r="AA67">
        <v>20</v>
      </c>
      <c r="AB67">
        <v>0</v>
      </c>
    </row>
    <row r="68" spans="1:28" x14ac:dyDescent="0.25">
      <c r="A68">
        <v>65</v>
      </c>
      <c r="B68">
        <v>80</v>
      </c>
      <c r="C68">
        <v>0</v>
      </c>
      <c r="D68">
        <v>2</v>
      </c>
      <c r="E68">
        <v>-2.6828073289003922</v>
      </c>
      <c r="F68">
        <v>20</v>
      </c>
      <c r="G68">
        <v>0</v>
      </c>
      <c r="J68" s="3" cm="1">
        <f t="array" ref="J68">h_ex_td(E68,G68,101325,101325,0,0)</f>
        <v>80.007744243012553</v>
      </c>
      <c r="K68" s="2" cm="1">
        <f t="array" ref="K68">h_ex_td(E68,G68,101325,101325,0,1)</f>
        <v>80.000000000000696</v>
      </c>
      <c r="L68">
        <v>95</v>
      </c>
      <c r="M68" s="1" cm="1">
        <f t="array" ref="M68">td_ex_h(L68,G68,101325,101325,1,0)</f>
        <v>-0.62166675272670369</v>
      </c>
      <c r="N68" s="3">
        <f t="shared" si="0"/>
        <v>-14.999999999999304</v>
      </c>
      <c r="O68" s="2" cm="1">
        <f t="array" ref="O68">h2exh1(L68,G68,D68,101325,101325,1)</f>
        <v>82.249712670313627</v>
      </c>
      <c r="P68">
        <v>6</v>
      </c>
      <c r="Q68" s="3" cm="1">
        <f t="array" ref="Q68">ROUND((vapourpress(G68,0)*ef(G68,101325,0))/(vapourpress(G68,1)*ef(G68,101325,1))*100,3)</f>
        <v>99.99</v>
      </c>
      <c r="R68">
        <v>95</v>
      </c>
      <c r="S68" s="2" cm="1">
        <f t="array" ref="S68">td_ex_h(L68,G68,101325,101325,1,0)</f>
        <v>-0.62166675272670369</v>
      </c>
      <c r="T68" cm="1">
        <f t="array" ref="T68">h2exh1(R68,G68,D68,101325,101325,1)</f>
        <v>82.249712670313627</v>
      </c>
      <c r="V68">
        <v>57</v>
      </c>
      <c r="W68">
        <v>80</v>
      </c>
      <c r="X68">
        <v>0</v>
      </c>
      <c r="Y68">
        <v>2</v>
      </c>
      <c r="Z68" s="1">
        <v>56.276119195477726</v>
      </c>
      <c r="AA68">
        <v>20</v>
      </c>
      <c r="AB68">
        <v>0</v>
      </c>
    </row>
    <row r="69" spans="1:28" x14ac:dyDescent="0.25">
      <c r="A69">
        <v>66</v>
      </c>
      <c r="B69">
        <v>80</v>
      </c>
      <c r="C69">
        <v>0</v>
      </c>
      <c r="D69">
        <v>2</v>
      </c>
      <c r="E69">
        <v>-5.1317493713567792</v>
      </c>
      <c r="F69">
        <v>20</v>
      </c>
      <c r="G69">
        <v>0</v>
      </c>
      <c r="J69" s="3" cm="1">
        <f t="array" ref="J69">h_ex_td(E69,G69,101325,101325,0,0)</f>
        <v>65.00629219744738</v>
      </c>
      <c r="K69" s="2" cm="1">
        <f t="array" ref="K69">h_ex_td(E69,G69,101325,101325,0,1)</f>
        <v>65.000000000000242</v>
      </c>
      <c r="L69">
        <v>80</v>
      </c>
      <c r="M69" s="1" cm="1">
        <f t="array" ref="M69">td_ex_h(L69,G69,101325,101325,1,0)</f>
        <v>-2.6828073289003922</v>
      </c>
      <c r="N69" s="3">
        <f t="shared" si="0"/>
        <v>-14.999999999999758</v>
      </c>
      <c r="O69" s="2" cm="1">
        <f t="array" ref="O69">h2exh1(L69,G69,D69,101325,101325,1)</f>
        <v>69.262915932895666</v>
      </c>
      <c r="P69">
        <v>6</v>
      </c>
      <c r="Q69" s="3" cm="1">
        <f t="array" ref="Q69">ROUND((vapourpress(G69,0)*ef(G69,101325,0))/(vapourpress(G69,1)*ef(G69,101325,1))*100,3)</f>
        <v>99.99</v>
      </c>
      <c r="R69">
        <v>80</v>
      </c>
      <c r="S69" s="2" cm="1">
        <f t="array" ref="S69">td_ex_h(L69,G69,101325,101325,1,0)</f>
        <v>-2.6828073289003922</v>
      </c>
      <c r="T69" cm="1">
        <f t="array" ref="T69">h2exh1(R69,G69,D69,101325,101325,1)</f>
        <v>69.262915932895666</v>
      </c>
      <c r="V69">
        <v>58</v>
      </c>
      <c r="W69">
        <v>80</v>
      </c>
      <c r="X69">
        <v>0</v>
      </c>
      <c r="Y69">
        <v>2</v>
      </c>
      <c r="Z69" s="1">
        <v>43.2893224580598</v>
      </c>
      <c r="AA69">
        <v>20</v>
      </c>
      <c r="AB69">
        <v>0</v>
      </c>
    </row>
    <row r="70" spans="1:28" x14ac:dyDescent="0.25">
      <c r="A70">
        <v>67</v>
      </c>
      <c r="B70">
        <v>80</v>
      </c>
      <c r="C70">
        <v>0</v>
      </c>
      <c r="D70">
        <v>2</v>
      </c>
      <c r="E70">
        <v>-8.1631128878586061</v>
      </c>
      <c r="F70">
        <v>20</v>
      </c>
      <c r="G70">
        <v>0</v>
      </c>
      <c r="J70" s="3" cm="1">
        <f t="array" ref="J70">h_ex_td(E70,G70,101325,101325,0,0)</f>
        <v>50.004840188476152</v>
      </c>
      <c r="K70" s="2" cm="1">
        <f t="array" ref="K70">h_ex_td(E70,G70,101325,101325,0,1)</f>
        <v>50.000000036590194</v>
      </c>
      <c r="L70">
        <v>65</v>
      </c>
      <c r="M70" s="1" cm="1">
        <f t="array" ref="M70">td_ex_h(L70,G70,101325,101325,1,0)</f>
        <v>-5.1317493713567792</v>
      </c>
      <c r="N70" s="3">
        <f t="shared" si="0"/>
        <v>-14.999999963409806</v>
      </c>
      <c r="O70" s="2" cm="1">
        <f t="array" ref="O70">h2exh1(L70,G70,D70,101325,101325,1)</f>
        <v>56.276119195477726</v>
      </c>
      <c r="P70">
        <v>6</v>
      </c>
      <c r="Q70" s="3" cm="1">
        <f t="array" ref="Q70">ROUND((vapourpress(G70,0)*ef(G70,101325,0))/(vapourpress(G70,1)*ef(G70,101325,1))*100,3)</f>
        <v>99.99</v>
      </c>
      <c r="R70">
        <v>65</v>
      </c>
      <c r="S70" s="2" cm="1">
        <f t="array" ref="S70">td_ex_h(L70,G70,101325,101325,1,0)</f>
        <v>-5.1317493713567792</v>
      </c>
      <c r="T70" cm="1">
        <f t="array" ref="T70">h2exh1(R70,G70,D70,101325,101325,1)</f>
        <v>56.276119195477726</v>
      </c>
      <c r="V70">
        <v>59</v>
      </c>
      <c r="W70">
        <v>80</v>
      </c>
      <c r="X70">
        <v>0</v>
      </c>
      <c r="Y70">
        <v>2</v>
      </c>
      <c r="Z70" s="1">
        <v>30.302525720641853</v>
      </c>
      <c r="AA70">
        <v>20</v>
      </c>
      <c r="AB70">
        <v>0</v>
      </c>
    </row>
    <row r="71" spans="1:28" x14ac:dyDescent="0.25">
      <c r="A71">
        <v>68</v>
      </c>
      <c r="B71">
        <v>80</v>
      </c>
      <c r="C71">
        <v>0</v>
      </c>
      <c r="D71">
        <v>2</v>
      </c>
      <c r="E71">
        <v>-12.175378906092927</v>
      </c>
      <c r="F71">
        <v>10</v>
      </c>
      <c r="G71">
        <v>0</v>
      </c>
      <c r="J71" s="3" cm="1">
        <f t="array" ref="J71">h_ex_td(E71,G71,101325,101325,0,0)</f>
        <v>35.003388473130812</v>
      </c>
      <c r="K71" s="2" cm="1">
        <f t="array" ref="K71">h_ex_td(E71,G71,101325,101325,0,1)</f>
        <v>35.00000036677762</v>
      </c>
      <c r="L71">
        <v>50</v>
      </c>
      <c r="M71" s="1" cm="1">
        <f t="array" ref="M71">td_ex_h(L71,G71,101325,101325,1,0)</f>
        <v>-8.1631128878586061</v>
      </c>
      <c r="N71" s="3">
        <f t="shared" si="0"/>
        <v>-14.99999963322238</v>
      </c>
      <c r="O71" s="2" cm="1">
        <f t="array" ref="O71">h2exh1(L71,G71,D71,101325,101325,1)</f>
        <v>43.2893224580598</v>
      </c>
      <c r="P71">
        <v>6</v>
      </c>
      <c r="Q71" s="3" cm="1">
        <f t="array" ref="Q71">ROUND((vapourpress(G71,0)*ef(G71,101325,0))/(vapourpress(G71,1)*ef(G71,101325,1))*100,3)</f>
        <v>99.99</v>
      </c>
      <c r="R71">
        <v>50</v>
      </c>
      <c r="S71" s="2" cm="1">
        <f t="array" ref="S71">td_ex_h(L71,G71,101325,101325,1,0)</f>
        <v>-8.1631128878586061</v>
      </c>
      <c r="T71" cm="1">
        <f t="array" ref="T71">h2exh1(R71,G71,D71,101325,101325,1)</f>
        <v>43.2893224580598</v>
      </c>
      <c r="V71">
        <v>60</v>
      </c>
      <c r="W71">
        <v>80</v>
      </c>
      <c r="X71">
        <v>0</v>
      </c>
      <c r="Y71">
        <v>2</v>
      </c>
      <c r="Z71" s="1">
        <v>17.315728983223917</v>
      </c>
      <c r="AA71">
        <v>20</v>
      </c>
      <c r="AB71">
        <v>0</v>
      </c>
    </row>
    <row r="72" spans="1:28" x14ac:dyDescent="0.25">
      <c r="A72">
        <v>69</v>
      </c>
      <c r="B72">
        <v>80</v>
      </c>
      <c r="C72">
        <v>0</v>
      </c>
      <c r="D72">
        <v>2</v>
      </c>
      <c r="E72">
        <v>-18.230600735851418</v>
      </c>
      <c r="F72">
        <v>20</v>
      </c>
      <c r="G72">
        <v>0</v>
      </c>
      <c r="J72" s="3" cm="1">
        <f t="array" ref="J72">h_ex_td(E72,G72,101325,101325,0,0)</f>
        <v>20.001937035420127</v>
      </c>
      <c r="K72" s="2" cm="1">
        <f t="array" ref="K72">h_ex_td(E72,G72,101325,101325,0,1)</f>
        <v>20.000000974572821</v>
      </c>
      <c r="L72">
        <v>35</v>
      </c>
      <c r="M72" s="1" cm="1">
        <f t="array" ref="M72">td_ex_h(L72,G72,101325,101325,1,0)</f>
        <v>-12.175378906092927</v>
      </c>
      <c r="N72" s="3">
        <f t="shared" si="0"/>
        <v>-14.999999025427179</v>
      </c>
      <c r="O72" s="2" cm="1">
        <f t="array" ref="O72">h2exh1(L72,G72,D72,101325,101325,1)</f>
        <v>30.302525720641853</v>
      </c>
      <c r="P72">
        <v>6</v>
      </c>
      <c r="Q72" s="3" cm="1">
        <f t="array" ref="Q72">ROUND((vapourpress(G72,0)*ef(G72,101325,0))/(vapourpress(G72,1)*ef(G72,101325,1))*100,3)</f>
        <v>99.99</v>
      </c>
      <c r="R72">
        <v>35</v>
      </c>
      <c r="S72" s="2" cm="1">
        <f t="array" ref="S72">td_ex_h(L72,G72,101325,101325,1,0)</f>
        <v>-12.175378906092927</v>
      </c>
      <c r="T72" cm="1">
        <f t="array" ref="T72">h2exh1(R72,G72,D72,101325,101325,1)</f>
        <v>30.302525720641853</v>
      </c>
      <c r="V72">
        <v>61</v>
      </c>
      <c r="W72">
        <v>120</v>
      </c>
      <c r="X72">
        <v>0</v>
      </c>
      <c r="Y72">
        <v>2</v>
      </c>
      <c r="Z72">
        <v>-0.622</v>
      </c>
      <c r="AA72">
        <v>10</v>
      </c>
      <c r="AB72">
        <v>0</v>
      </c>
    </row>
    <row r="73" spans="1:28" x14ac:dyDescent="0.25">
      <c r="J73" s="3"/>
      <c r="K73" s="2"/>
      <c r="M73" s="1"/>
      <c r="N73" s="3"/>
      <c r="O73" s="2"/>
      <c r="Q73" s="3"/>
      <c r="S73" s="2"/>
      <c r="V73">
        <v>62</v>
      </c>
      <c r="W73">
        <v>80</v>
      </c>
      <c r="X73">
        <v>0</v>
      </c>
      <c r="Y73">
        <v>2</v>
      </c>
      <c r="Z73">
        <v>-2.6829999999999998</v>
      </c>
      <c r="AA73">
        <v>20</v>
      </c>
      <c r="AB73">
        <v>0</v>
      </c>
    </row>
    <row r="74" spans="1:28" x14ac:dyDescent="0.25">
      <c r="J74" s="3"/>
      <c r="K74" s="2"/>
      <c r="V74">
        <v>63</v>
      </c>
      <c r="W74">
        <v>80</v>
      </c>
      <c r="X74">
        <v>0</v>
      </c>
      <c r="Y74">
        <v>2</v>
      </c>
      <c r="Z74">
        <v>-5.1319999999999997</v>
      </c>
      <c r="AA74">
        <v>20</v>
      </c>
      <c r="AB74">
        <v>0</v>
      </c>
    </row>
    <row r="75" spans="1:28" x14ac:dyDescent="0.25">
      <c r="J75" s="3"/>
      <c r="K75" s="2"/>
      <c r="V75">
        <v>64</v>
      </c>
      <c r="W75">
        <v>80</v>
      </c>
      <c r="X75">
        <v>0</v>
      </c>
      <c r="Y75">
        <v>2</v>
      </c>
      <c r="Z75">
        <v>-8.1630000000000003</v>
      </c>
      <c r="AA75">
        <v>20</v>
      </c>
      <c r="AB75">
        <v>0</v>
      </c>
    </row>
    <row r="76" spans="1:28" x14ac:dyDescent="0.25">
      <c r="J76" s="3"/>
      <c r="K76" s="2"/>
      <c r="V76">
        <v>65</v>
      </c>
      <c r="W76">
        <v>80</v>
      </c>
      <c r="X76">
        <v>0</v>
      </c>
      <c r="Y76">
        <v>2</v>
      </c>
      <c r="Z76">
        <v>-12.175000000000001</v>
      </c>
      <c r="AA76">
        <v>20</v>
      </c>
      <c r="AB76">
        <v>0</v>
      </c>
    </row>
    <row r="77" spans="1:28" x14ac:dyDescent="0.25">
      <c r="J77" s="3"/>
      <c r="K77" s="2"/>
      <c r="V77">
        <v>66</v>
      </c>
      <c r="W77">
        <v>80</v>
      </c>
      <c r="X77">
        <v>0</v>
      </c>
      <c r="Y77">
        <v>2</v>
      </c>
      <c r="Z77">
        <v>-18.231000000000002</v>
      </c>
      <c r="AA77">
        <v>20</v>
      </c>
      <c r="AB77">
        <v>0</v>
      </c>
    </row>
    <row r="78" spans="1:28" x14ac:dyDescent="0.25">
      <c r="J78" s="3"/>
      <c r="K78" s="2"/>
      <c r="V78">
        <v>67</v>
      </c>
      <c r="W78">
        <v>180</v>
      </c>
      <c r="X78">
        <v>0</v>
      </c>
      <c r="Y78">
        <v>22</v>
      </c>
      <c r="Z78">
        <v>-3.206</v>
      </c>
      <c r="AA78">
        <v>20</v>
      </c>
      <c r="AB78">
        <v>20</v>
      </c>
    </row>
    <row r="79" spans="1:28" x14ac:dyDescent="0.25">
      <c r="J79" s="3"/>
      <c r="K79" s="2"/>
      <c r="V79">
        <v>68</v>
      </c>
      <c r="W79">
        <v>80</v>
      </c>
      <c r="X79">
        <v>0</v>
      </c>
      <c r="Y79">
        <v>22</v>
      </c>
      <c r="Z79">
        <v>4.093</v>
      </c>
      <c r="AA79">
        <v>20</v>
      </c>
      <c r="AB79">
        <v>20</v>
      </c>
    </row>
    <row r="80" spans="1:28" x14ac:dyDescent="0.25">
      <c r="J80" s="3"/>
      <c r="K80" s="2"/>
      <c r="V80">
        <v>69</v>
      </c>
      <c r="W80">
        <v>80</v>
      </c>
      <c r="X80">
        <v>0</v>
      </c>
      <c r="Y80">
        <v>22</v>
      </c>
      <c r="Z80">
        <v>9.2750000000000004</v>
      </c>
      <c r="AA80">
        <v>20</v>
      </c>
      <c r="AB80">
        <v>20</v>
      </c>
    </row>
    <row r="81" spans="11:28" x14ac:dyDescent="0.25">
      <c r="K81" s="2"/>
      <c r="V81">
        <v>70</v>
      </c>
      <c r="W81">
        <v>80</v>
      </c>
      <c r="X81">
        <v>0</v>
      </c>
      <c r="Y81">
        <v>22</v>
      </c>
      <c r="Z81">
        <v>13.228999999999999</v>
      </c>
      <c r="AA81">
        <v>20</v>
      </c>
      <c r="AB81">
        <v>20</v>
      </c>
    </row>
    <row r="82" spans="11:28" x14ac:dyDescent="0.25">
      <c r="K82" s="2"/>
      <c r="V82">
        <v>71</v>
      </c>
      <c r="W82">
        <v>80</v>
      </c>
      <c r="X82">
        <v>0</v>
      </c>
      <c r="Y82">
        <v>22</v>
      </c>
      <c r="Z82">
        <v>16.448</v>
      </c>
      <c r="AA82">
        <v>20</v>
      </c>
      <c r="AB82">
        <v>20</v>
      </c>
    </row>
    <row r="83" spans="11:28" x14ac:dyDescent="0.25">
      <c r="K83" s="2"/>
      <c r="V83">
        <v>72</v>
      </c>
      <c r="W83">
        <v>90</v>
      </c>
      <c r="X83">
        <v>0</v>
      </c>
      <c r="Y83">
        <v>22</v>
      </c>
      <c r="Z83">
        <v>19.175000000000001</v>
      </c>
      <c r="AA83">
        <v>10</v>
      </c>
      <c r="AB83">
        <v>20</v>
      </c>
    </row>
    <row r="84" spans="11:28" x14ac:dyDescent="0.25">
      <c r="K84" s="2"/>
      <c r="V84">
        <v>73</v>
      </c>
      <c r="W84">
        <v>80</v>
      </c>
      <c r="X84">
        <v>0</v>
      </c>
      <c r="Y84">
        <v>22</v>
      </c>
      <c r="Z84">
        <v>16.448</v>
      </c>
      <c r="AA84">
        <v>20</v>
      </c>
      <c r="AB84">
        <v>20</v>
      </c>
    </row>
    <row r="85" spans="11:28" x14ac:dyDescent="0.25">
      <c r="K85" s="2"/>
      <c r="V85">
        <v>74</v>
      </c>
      <c r="W85">
        <v>80</v>
      </c>
      <c r="X85">
        <v>0</v>
      </c>
      <c r="Y85">
        <v>22</v>
      </c>
      <c r="Z85">
        <v>13.228999999999999</v>
      </c>
      <c r="AA85">
        <v>20</v>
      </c>
      <c r="AB85">
        <v>20</v>
      </c>
    </row>
    <row r="86" spans="11:28" x14ac:dyDescent="0.25">
      <c r="K86" s="2"/>
      <c r="V86">
        <v>75</v>
      </c>
      <c r="W86">
        <v>80</v>
      </c>
      <c r="X86">
        <v>0</v>
      </c>
      <c r="Y86">
        <v>22</v>
      </c>
      <c r="Z86">
        <v>9.2750000000000004</v>
      </c>
      <c r="AA86">
        <v>20</v>
      </c>
      <c r="AB86">
        <v>20</v>
      </c>
    </row>
    <row r="87" spans="11:28" x14ac:dyDescent="0.25">
      <c r="K87" s="2"/>
      <c r="V87">
        <v>76</v>
      </c>
      <c r="W87">
        <v>80</v>
      </c>
      <c r="X87">
        <v>0</v>
      </c>
      <c r="Y87">
        <v>22</v>
      </c>
      <c r="Z87">
        <v>4.093</v>
      </c>
      <c r="AA87">
        <v>20</v>
      </c>
      <c r="AB87">
        <v>20</v>
      </c>
    </row>
    <row r="88" spans="11:28" x14ac:dyDescent="0.25">
      <c r="K88" s="2"/>
      <c r="V88">
        <v>77</v>
      </c>
      <c r="W88">
        <v>80</v>
      </c>
      <c r="X88">
        <v>0</v>
      </c>
      <c r="Y88">
        <v>22</v>
      </c>
      <c r="Z88">
        <v>-3.206</v>
      </c>
      <c r="AA88">
        <v>20</v>
      </c>
      <c r="AB88">
        <v>20</v>
      </c>
    </row>
    <row r="89" spans="11:28" x14ac:dyDescent="0.25">
      <c r="K89" s="2"/>
      <c r="V89">
        <v>78</v>
      </c>
      <c r="W89">
        <v>180</v>
      </c>
      <c r="X89">
        <v>0</v>
      </c>
      <c r="Y89">
        <v>42</v>
      </c>
      <c r="Z89">
        <v>12.797000000000001</v>
      </c>
      <c r="AA89">
        <v>20</v>
      </c>
      <c r="AB89">
        <v>40</v>
      </c>
    </row>
    <row r="90" spans="11:28" x14ac:dyDescent="0.25">
      <c r="K90" s="2"/>
      <c r="V90">
        <v>79</v>
      </c>
      <c r="W90">
        <v>80</v>
      </c>
      <c r="X90">
        <v>0</v>
      </c>
      <c r="Y90">
        <v>42</v>
      </c>
      <c r="Z90">
        <v>21.632000000000001</v>
      </c>
      <c r="AA90">
        <v>20</v>
      </c>
      <c r="AB90">
        <v>40</v>
      </c>
    </row>
    <row r="91" spans="11:28" x14ac:dyDescent="0.25">
      <c r="K91" s="2"/>
      <c r="V91">
        <v>80</v>
      </c>
      <c r="W91">
        <v>80</v>
      </c>
      <c r="X91">
        <v>0</v>
      </c>
      <c r="Y91">
        <v>42</v>
      </c>
      <c r="Z91">
        <v>27.594000000000001</v>
      </c>
      <c r="AA91">
        <v>20</v>
      </c>
      <c r="AB91">
        <v>40</v>
      </c>
    </row>
    <row r="92" spans="11:28" x14ac:dyDescent="0.25">
      <c r="K92" s="2"/>
      <c r="V92">
        <v>81</v>
      </c>
      <c r="W92">
        <v>80</v>
      </c>
      <c r="X92">
        <v>0</v>
      </c>
      <c r="Y92">
        <v>42</v>
      </c>
      <c r="Z92">
        <v>32.156999999999996</v>
      </c>
      <c r="AA92">
        <v>20</v>
      </c>
      <c r="AB92">
        <v>40</v>
      </c>
    </row>
    <row r="93" spans="11:28" x14ac:dyDescent="0.25">
      <c r="K93" s="2"/>
      <c r="V93">
        <v>82</v>
      </c>
      <c r="W93">
        <v>80</v>
      </c>
      <c r="X93">
        <v>0</v>
      </c>
      <c r="Y93">
        <v>42</v>
      </c>
      <c r="Z93">
        <v>35.881</v>
      </c>
      <c r="AA93">
        <v>20</v>
      </c>
      <c r="AB93">
        <v>40</v>
      </c>
    </row>
    <row r="94" spans="11:28" x14ac:dyDescent="0.25">
      <c r="K94" s="2"/>
      <c r="V94">
        <v>83</v>
      </c>
      <c r="W94">
        <v>90</v>
      </c>
      <c r="X94">
        <v>0</v>
      </c>
      <c r="Y94">
        <v>42</v>
      </c>
      <c r="Z94">
        <v>39.042000000000002</v>
      </c>
      <c r="AA94">
        <v>10</v>
      </c>
      <c r="AB94">
        <v>40</v>
      </c>
    </row>
    <row r="95" spans="11:28" x14ac:dyDescent="0.25">
      <c r="K95" s="2"/>
      <c r="V95">
        <v>84</v>
      </c>
      <c r="W95">
        <v>80</v>
      </c>
      <c r="X95">
        <v>0</v>
      </c>
      <c r="Y95">
        <v>42</v>
      </c>
      <c r="Z95">
        <v>35.881</v>
      </c>
      <c r="AA95">
        <v>20</v>
      </c>
      <c r="AB95">
        <v>40</v>
      </c>
    </row>
    <row r="96" spans="11:28" x14ac:dyDescent="0.25">
      <c r="K96" s="2"/>
      <c r="V96">
        <v>85</v>
      </c>
      <c r="W96">
        <v>80</v>
      </c>
      <c r="X96">
        <v>0</v>
      </c>
      <c r="Y96">
        <v>42</v>
      </c>
      <c r="Z96">
        <v>32.156999999999996</v>
      </c>
      <c r="AA96">
        <v>20</v>
      </c>
      <c r="AB96">
        <v>40</v>
      </c>
    </row>
    <row r="97" spans="11:28" x14ac:dyDescent="0.25">
      <c r="K97" s="2"/>
      <c r="V97">
        <v>86</v>
      </c>
      <c r="W97">
        <v>80</v>
      </c>
      <c r="X97">
        <v>0</v>
      </c>
      <c r="Y97">
        <v>42</v>
      </c>
      <c r="Z97">
        <v>27.594000000000001</v>
      </c>
      <c r="AA97">
        <v>20</v>
      </c>
      <c r="AB97">
        <v>40</v>
      </c>
    </row>
    <row r="98" spans="11:28" x14ac:dyDescent="0.25">
      <c r="K98" s="2"/>
      <c r="V98">
        <v>87</v>
      </c>
      <c r="W98">
        <v>80</v>
      </c>
      <c r="X98">
        <v>0</v>
      </c>
      <c r="Y98">
        <v>42</v>
      </c>
      <c r="Z98">
        <v>21.632000000000001</v>
      </c>
      <c r="AA98">
        <v>20</v>
      </c>
      <c r="AB98">
        <v>40</v>
      </c>
    </row>
    <row r="99" spans="11:28" x14ac:dyDescent="0.25">
      <c r="K99" s="2"/>
      <c r="V99">
        <v>88</v>
      </c>
      <c r="W99">
        <v>80</v>
      </c>
      <c r="X99">
        <v>0</v>
      </c>
      <c r="Y99">
        <v>42</v>
      </c>
      <c r="Z99">
        <v>12.797000000000001</v>
      </c>
      <c r="AA99">
        <v>20</v>
      </c>
      <c r="AB99">
        <v>40</v>
      </c>
    </row>
    <row r="100" spans="11:28" x14ac:dyDescent="0.25">
      <c r="K100" s="2"/>
      <c r="V100">
        <v>89</v>
      </c>
      <c r="W100">
        <v>180</v>
      </c>
      <c r="X100">
        <v>0</v>
      </c>
      <c r="Y100">
        <v>62</v>
      </c>
      <c r="Z100">
        <v>28.940999999999999</v>
      </c>
      <c r="AA100">
        <v>20</v>
      </c>
      <c r="AB100">
        <v>60</v>
      </c>
    </row>
    <row r="101" spans="11:28" x14ac:dyDescent="0.25">
      <c r="K101" s="2"/>
      <c r="V101">
        <v>90</v>
      </c>
      <c r="W101">
        <v>80</v>
      </c>
      <c r="X101">
        <v>0</v>
      </c>
      <c r="Y101">
        <v>62</v>
      </c>
      <c r="Z101">
        <v>38.970999999999997</v>
      </c>
      <c r="AA101">
        <v>20</v>
      </c>
      <c r="AB101">
        <v>60</v>
      </c>
    </row>
    <row r="102" spans="11:28" x14ac:dyDescent="0.25">
      <c r="K102" s="2"/>
      <c r="V102">
        <v>91</v>
      </c>
      <c r="W102">
        <v>80</v>
      </c>
      <c r="X102">
        <v>0</v>
      </c>
      <c r="Y102">
        <v>62</v>
      </c>
      <c r="Z102">
        <v>45.768999999999998</v>
      </c>
      <c r="AA102">
        <v>20</v>
      </c>
      <c r="AB102">
        <v>60</v>
      </c>
    </row>
    <row r="103" spans="11:28" x14ac:dyDescent="0.25">
      <c r="K103" s="2"/>
      <c r="V103">
        <v>92</v>
      </c>
      <c r="W103">
        <v>80</v>
      </c>
      <c r="X103">
        <v>0</v>
      </c>
      <c r="Y103">
        <v>62</v>
      </c>
      <c r="Z103">
        <v>50.988999999999997</v>
      </c>
      <c r="AA103">
        <v>20</v>
      </c>
      <c r="AB103">
        <v>60</v>
      </c>
    </row>
    <row r="104" spans="11:28" x14ac:dyDescent="0.25">
      <c r="K104" s="2"/>
      <c r="V104">
        <v>93</v>
      </c>
      <c r="W104">
        <v>80</v>
      </c>
      <c r="X104">
        <v>0</v>
      </c>
      <c r="Y104">
        <v>62</v>
      </c>
      <c r="Z104">
        <v>55.262</v>
      </c>
      <c r="AA104">
        <v>20</v>
      </c>
      <c r="AB104">
        <v>60</v>
      </c>
    </row>
    <row r="105" spans="11:28" x14ac:dyDescent="0.25">
      <c r="K105" s="2"/>
      <c r="V105">
        <v>94</v>
      </c>
      <c r="W105">
        <v>90</v>
      </c>
      <c r="X105">
        <v>0</v>
      </c>
      <c r="Y105">
        <v>62</v>
      </c>
      <c r="Z105">
        <v>58.896999999999998</v>
      </c>
      <c r="AA105">
        <v>10</v>
      </c>
      <c r="AB105">
        <v>60</v>
      </c>
    </row>
    <row r="106" spans="11:28" x14ac:dyDescent="0.25">
      <c r="K106" s="2"/>
      <c r="V106">
        <v>95</v>
      </c>
      <c r="W106">
        <v>80</v>
      </c>
      <c r="X106">
        <v>0</v>
      </c>
      <c r="Y106">
        <v>62</v>
      </c>
      <c r="Z106">
        <v>55.262</v>
      </c>
      <c r="AA106">
        <v>20</v>
      </c>
      <c r="AB106">
        <v>60</v>
      </c>
    </row>
    <row r="107" spans="11:28" x14ac:dyDescent="0.25">
      <c r="K107" s="2"/>
      <c r="V107">
        <v>96</v>
      </c>
      <c r="W107">
        <v>80</v>
      </c>
      <c r="X107">
        <v>0</v>
      </c>
      <c r="Y107">
        <v>62</v>
      </c>
      <c r="Z107">
        <v>50.988999999999997</v>
      </c>
      <c r="AA107">
        <v>20</v>
      </c>
      <c r="AB107">
        <v>60</v>
      </c>
    </row>
    <row r="108" spans="11:28" x14ac:dyDescent="0.25">
      <c r="K108" s="2"/>
      <c r="V108">
        <v>97</v>
      </c>
      <c r="W108">
        <v>80</v>
      </c>
      <c r="X108">
        <v>0</v>
      </c>
      <c r="Y108">
        <v>62</v>
      </c>
      <c r="Z108">
        <v>45.768999999999998</v>
      </c>
      <c r="AA108">
        <v>20</v>
      </c>
      <c r="AB108">
        <v>60</v>
      </c>
    </row>
    <row r="109" spans="11:28" x14ac:dyDescent="0.25">
      <c r="V109">
        <v>98</v>
      </c>
      <c r="W109">
        <v>80</v>
      </c>
      <c r="X109">
        <v>0</v>
      </c>
      <c r="Y109">
        <v>62</v>
      </c>
      <c r="Z109">
        <v>38.970999999999997</v>
      </c>
      <c r="AA109">
        <v>20</v>
      </c>
      <c r="AB109">
        <v>60</v>
      </c>
    </row>
    <row r="110" spans="11:28" x14ac:dyDescent="0.25">
      <c r="V110">
        <v>99</v>
      </c>
      <c r="W110">
        <v>80</v>
      </c>
      <c r="X110">
        <v>0</v>
      </c>
      <c r="Y110">
        <v>62</v>
      </c>
      <c r="Z110">
        <v>28.940999999999999</v>
      </c>
      <c r="AA110">
        <v>20</v>
      </c>
      <c r="AB110">
        <v>60</v>
      </c>
    </row>
    <row r="111" spans="11:28" x14ac:dyDescent="0.25">
      <c r="V111">
        <v>100</v>
      </c>
      <c r="W111">
        <v>300</v>
      </c>
      <c r="X111">
        <v>0</v>
      </c>
      <c r="Y111">
        <v>42</v>
      </c>
      <c r="Z111">
        <v>12.797000000000001</v>
      </c>
      <c r="AA111">
        <v>20</v>
      </c>
      <c r="AB111">
        <v>40</v>
      </c>
    </row>
    <row r="112" spans="11:28" x14ac:dyDescent="0.25">
      <c r="V112">
        <v>101</v>
      </c>
      <c r="W112">
        <v>80</v>
      </c>
      <c r="X112">
        <v>0</v>
      </c>
      <c r="Y112">
        <v>42</v>
      </c>
      <c r="Z112">
        <v>21.632000000000001</v>
      </c>
      <c r="AA112">
        <v>20</v>
      </c>
      <c r="AB112">
        <v>40</v>
      </c>
    </row>
    <row r="113" spans="22:28" x14ac:dyDescent="0.25">
      <c r="V113">
        <v>102</v>
      </c>
      <c r="W113">
        <v>80</v>
      </c>
      <c r="X113">
        <v>0</v>
      </c>
      <c r="Y113">
        <v>42</v>
      </c>
      <c r="Z113">
        <v>27.594000000000001</v>
      </c>
      <c r="AA113">
        <v>20</v>
      </c>
      <c r="AB113">
        <v>40</v>
      </c>
    </row>
    <row r="114" spans="22:28" x14ac:dyDescent="0.25">
      <c r="V114">
        <v>103</v>
      </c>
      <c r="W114">
        <v>80</v>
      </c>
      <c r="X114">
        <v>0</v>
      </c>
      <c r="Y114">
        <v>42</v>
      </c>
      <c r="Z114">
        <v>32.156999999999996</v>
      </c>
      <c r="AA114">
        <v>20</v>
      </c>
      <c r="AB114">
        <v>40</v>
      </c>
    </row>
    <row r="115" spans="22:28" x14ac:dyDescent="0.25">
      <c r="V115">
        <v>104</v>
      </c>
      <c r="W115">
        <v>80</v>
      </c>
      <c r="X115">
        <v>0</v>
      </c>
      <c r="Y115">
        <v>42</v>
      </c>
      <c r="Z115">
        <v>35.881</v>
      </c>
      <c r="AA115">
        <v>20</v>
      </c>
      <c r="AB115">
        <v>40</v>
      </c>
    </row>
    <row r="116" spans="22:28" x14ac:dyDescent="0.25">
      <c r="V116">
        <v>105</v>
      </c>
      <c r="W116">
        <v>90</v>
      </c>
      <c r="X116">
        <v>0</v>
      </c>
      <c r="Y116">
        <v>42</v>
      </c>
      <c r="Z116">
        <v>39.042000000000002</v>
      </c>
      <c r="AA116">
        <v>10</v>
      </c>
      <c r="AB116">
        <v>40</v>
      </c>
    </row>
    <row r="117" spans="22:28" x14ac:dyDescent="0.25">
      <c r="V117">
        <v>106</v>
      </c>
      <c r="W117">
        <v>80</v>
      </c>
      <c r="X117">
        <v>0</v>
      </c>
      <c r="Y117">
        <v>42</v>
      </c>
      <c r="Z117">
        <v>35.881</v>
      </c>
      <c r="AA117">
        <v>20</v>
      </c>
      <c r="AB117">
        <v>40</v>
      </c>
    </row>
    <row r="118" spans="22:28" x14ac:dyDescent="0.25">
      <c r="V118">
        <v>107</v>
      </c>
      <c r="W118">
        <v>80</v>
      </c>
      <c r="X118">
        <v>0</v>
      </c>
      <c r="Y118">
        <v>42</v>
      </c>
      <c r="Z118">
        <v>32.156999999999996</v>
      </c>
      <c r="AA118">
        <v>20</v>
      </c>
      <c r="AB118">
        <v>40</v>
      </c>
    </row>
    <row r="119" spans="22:28" x14ac:dyDescent="0.25">
      <c r="V119">
        <v>108</v>
      </c>
      <c r="W119">
        <v>80</v>
      </c>
      <c r="X119">
        <v>0</v>
      </c>
      <c r="Y119">
        <v>42</v>
      </c>
      <c r="Z119">
        <v>27.594000000000001</v>
      </c>
      <c r="AA119">
        <v>20</v>
      </c>
      <c r="AB119">
        <v>40</v>
      </c>
    </row>
    <row r="120" spans="22:28" x14ac:dyDescent="0.25">
      <c r="V120">
        <v>109</v>
      </c>
      <c r="W120">
        <v>80</v>
      </c>
      <c r="X120">
        <v>0</v>
      </c>
      <c r="Y120">
        <v>42</v>
      </c>
      <c r="Z120">
        <v>21.632000000000001</v>
      </c>
      <c r="AA120">
        <v>20</v>
      </c>
      <c r="AB120">
        <v>40</v>
      </c>
    </row>
    <row r="121" spans="22:28" x14ac:dyDescent="0.25">
      <c r="V121">
        <v>110</v>
      </c>
      <c r="W121">
        <v>80</v>
      </c>
      <c r="X121">
        <v>0</v>
      </c>
      <c r="Y121">
        <v>42</v>
      </c>
      <c r="Z121">
        <v>12.797000000000001</v>
      </c>
      <c r="AA121">
        <v>20</v>
      </c>
      <c r="AB121">
        <v>40</v>
      </c>
    </row>
    <row r="122" spans="22:28" x14ac:dyDescent="0.25">
      <c r="V122">
        <v>111</v>
      </c>
      <c r="W122">
        <v>300</v>
      </c>
      <c r="X122">
        <v>0</v>
      </c>
      <c r="Y122">
        <v>22</v>
      </c>
      <c r="Z122">
        <v>-3.206</v>
      </c>
      <c r="AA122">
        <v>20</v>
      </c>
      <c r="AB122">
        <v>20</v>
      </c>
    </row>
    <row r="123" spans="22:28" x14ac:dyDescent="0.25">
      <c r="V123">
        <v>112</v>
      </c>
      <c r="W123">
        <v>80</v>
      </c>
      <c r="X123">
        <v>0</v>
      </c>
      <c r="Y123">
        <v>22</v>
      </c>
      <c r="Z123">
        <v>4.093</v>
      </c>
      <c r="AA123">
        <v>20</v>
      </c>
      <c r="AB123">
        <v>20</v>
      </c>
    </row>
    <row r="124" spans="22:28" x14ac:dyDescent="0.25">
      <c r="V124">
        <v>113</v>
      </c>
      <c r="W124">
        <v>80</v>
      </c>
      <c r="X124">
        <v>0</v>
      </c>
      <c r="Y124">
        <v>22</v>
      </c>
      <c r="Z124">
        <v>9.2750000000000004</v>
      </c>
      <c r="AA124">
        <v>20</v>
      </c>
      <c r="AB124">
        <v>20</v>
      </c>
    </row>
    <row r="125" spans="22:28" x14ac:dyDescent="0.25">
      <c r="V125">
        <v>114</v>
      </c>
      <c r="W125">
        <v>80</v>
      </c>
      <c r="X125">
        <v>0</v>
      </c>
      <c r="Y125">
        <v>22</v>
      </c>
      <c r="Z125">
        <v>13.228999999999999</v>
      </c>
      <c r="AA125">
        <v>20</v>
      </c>
      <c r="AB125">
        <v>20</v>
      </c>
    </row>
    <row r="126" spans="22:28" x14ac:dyDescent="0.25">
      <c r="V126">
        <v>115</v>
      </c>
      <c r="W126">
        <v>80</v>
      </c>
      <c r="X126">
        <v>0</v>
      </c>
      <c r="Y126">
        <v>22</v>
      </c>
      <c r="Z126">
        <v>16.448</v>
      </c>
      <c r="AA126">
        <v>20</v>
      </c>
      <c r="AB126">
        <v>20</v>
      </c>
    </row>
    <row r="127" spans="22:28" x14ac:dyDescent="0.25">
      <c r="V127">
        <v>116</v>
      </c>
      <c r="W127">
        <v>90</v>
      </c>
      <c r="X127">
        <v>0</v>
      </c>
      <c r="Y127">
        <v>22</v>
      </c>
      <c r="Z127">
        <v>19.175000000000001</v>
      </c>
      <c r="AA127">
        <v>10</v>
      </c>
      <c r="AB127">
        <v>20</v>
      </c>
    </row>
    <row r="128" spans="22:28" x14ac:dyDescent="0.25">
      <c r="V128">
        <v>117</v>
      </c>
      <c r="W128">
        <v>80</v>
      </c>
      <c r="X128">
        <v>0</v>
      </c>
      <c r="Y128">
        <v>22</v>
      </c>
      <c r="Z128">
        <v>16.448</v>
      </c>
      <c r="AA128">
        <v>20</v>
      </c>
      <c r="AB128">
        <v>20</v>
      </c>
    </row>
    <row r="129" spans="22:28" x14ac:dyDescent="0.25">
      <c r="V129">
        <v>118</v>
      </c>
      <c r="W129">
        <v>80</v>
      </c>
      <c r="X129">
        <v>0</v>
      </c>
      <c r="Y129">
        <v>22</v>
      </c>
      <c r="Z129">
        <v>13.228999999999999</v>
      </c>
      <c r="AA129">
        <v>20</v>
      </c>
      <c r="AB129">
        <v>20</v>
      </c>
    </row>
    <row r="130" spans="22:28" x14ac:dyDescent="0.25">
      <c r="V130">
        <v>119</v>
      </c>
      <c r="W130">
        <v>80</v>
      </c>
      <c r="X130">
        <v>0</v>
      </c>
      <c r="Y130">
        <v>22</v>
      </c>
      <c r="Z130">
        <v>9.2750000000000004</v>
      </c>
      <c r="AA130">
        <v>20</v>
      </c>
      <c r="AB130">
        <v>20</v>
      </c>
    </row>
    <row r="131" spans="22:28" x14ac:dyDescent="0.25">
      <c r="V131">
        <v>120</v>
      </c>
      <c r="W131">
        <v>80</v>
      </c>
      <c r="X131">
        <v>0</v>
      </c>
      <c r="Y131">
        <v>22</v>
      </c>
      <c r="Z131">
        <v>4.093</v>
      </c>
      <c r="AA131">
        <v>20</v>
      </c>
      <c r="AB131">
        <v>20</v>
      </c>
    </row>
    <row r="132" spans="22:28" x14ac:dyDescent="0.25">
      <c r="V132">
        <v>121</v>
      </c>
      <c r="W132">
        <v>80</v>
      </c>
      <c r="X132">
        <v>0</v>
      </c>
      <c r="Y132">
        <v>22</v>
      </c>
      <c r="Z132">
        <v>-3.206</v>
      </c>
      <c r="AA132">
        <v>20</v>
      </c>
      <c r="AB132">
        <v>20</v>
      </c>
    </row>
  </sheetData>
  <conditionalFormatting sqref="L4:L73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R4:R73"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aH96140261_MI70_biotec_K3650019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Stefaan Janssens</cp:lastModifiedBy>
  <dcterms:created xsi:type="dcterms:W3CDTF">2024-10-30T07:54:56Z</dcterms:created>
  <dcterms:modified xsi:type="dcterms:W3CDTF">2024-11-01T06:45:28Z</dcterms:modified>
</cp:coreProperties>
</file>