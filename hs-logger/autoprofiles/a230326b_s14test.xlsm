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OCS\Dissemination\a Jobs\2023\S14\"/>
    </mc:Choice>
  </mc:AlternateContent>
  <xr:revisionPtr revIDLastSave="0" documentId="8_{AA01B8B0-D346-4C9D-818D-0CC18B5103B7}" xr6:coauthVersionLast="47" xr6:coauthVersionMax="47" xr10:uidLastSave="{00000000-0000-0000-0000-000000000000}"/>
  <bookViews>
    <workbookView xWindow="15" yWindow="15" windowWidth="23970" windowHeight="13470" xr2:uid="{00000000-000D-0000-FFFF-FFFF00000000}"/>
  </bookViews>
  <sheets>
    <sheet name="a230326b_s14test" sheetId="1" r:id="rId1"/>
    <sheet name="Sheet1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4" i="1"/>
  <c r="L4" i="1" s="1"/>
  <c r="B25" i="1"/>
  <c r="B24" i="1"/>
  <c r="B23" i="1"/>
  <c r="B22" i="1"/>
  <c r="B21" i="1"/>
  <c r="B20" i="1"/>
  <c r="B19" i="1"/>
  <c r="B13" i="1"/>
  <c r="B14" i="1"/>
  <c r="B15" i="1"/>
  <c r="B16" i="1"/>
  <c r="B17" i="1"/>
  <c r="B18" i="1"/>
  <c r="B12" i="1"/>
  <c r="S5" i="1"/>
  <c r="S4" i="1"/>
  <c r="R5" i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4" i="1"/>
  <c r="L5" i="1"/>
  <c r="O5" i="1" a="1"/>
  <c r="O4" i="1" a="1"/>
  <c r="L7" i="1" l="1"/>
  <c r="L8" i="1"/>
  <c r="L6" i="1"/>
  <c r="R22" i="1"/>
  <c r="R23" i="1" s="1"/>
  <c r="R24" i="1" s="1"/>
  <c r="R25" i="1" s="1"/>
  <c r="S25" i="1" s="1"/>
  <c r="S12" i="1"/>
  <c r="S20" i="1"/>
  <c r="S10" i="1"/>
  <c r="S17" i="1"/>
  <c r="S9" i="1"/>
  <c r="S24" i="1"/>
  <c r="S16" i="1"/>
  <c r="S8" i="1"/>
  <c r="S19" i="1"/>
  <c r="S11" i="1"/>
  <c r="S7" i="1"/>
  <c r="S22" i="1"/>
  <c r="S14" i="1"/>
  <c r="S6" i="1"/>
  <c r="S18" i="1"/>
  <c r="S23" i="1"/>
  <c r="S15" i="1"/>
  <c r="S21" i="1"/>
  <c r="S13" i="1"/>
  <c r="O4" i="1"/>
  <c r="E4" i="1" s="1"/>
  <c r="O5" i="1"/>
  <c r="E5" i="1" s="1"/>
  <c r="AJ4" i="1"/>
  <c r="AK4" i="1" s="1"/>
  <c r="AL4" i="1" s="1"/>
  <c r="AI4" i="1"/>
  <c r="AM3" i="1"/>
  <c r="O7" i="1" a="1"/>
  <c r="O8" i="1" a="1"/>
  <c r="O6" i="1" a="1"/>
  <c r="T45" i="1" a="1"/>
  <c r="T69" i="1" a="1"/>
  <c r="T51" i="1" a="1"/>
  <c r="T63" i="1" a="1"/>
  <c r="T56" i="1" a="1"/>
  <c r="T42" i="1" a="1"/>
  <c r="T31" i="1" a="1"/>
  <c r="T30" i="1" a="1"/>
  <c r="T47" i="1" a="1"/>
  <c r="T32" i="1" a="1"/>
  <c r="T44" i="1" a="1"/>
  <c r="T40" i="1" a="1"/>
  <c r="T55" i="1" a="1"/>
  <c r="T57" i="1" a="1"/>
  <c r="T62" i="1" a="1"/>
  <c r="T65" i="1" a="1"/>
  <c r="T68" i="1" a="1"/>
  <c r="T59" i="1" a="1"/>
  <c r="T38" i="1" a="1"/>
  <c r="T26" i="1" a="1"/>
  <c r="T66" i="1" a="1"/>
  <c r="T48" i="1" a="1"/>
  <c r="T54" i="1" a="1"/>
  <c r="T29" i="1" a="1"/>
  <c r="T53" i="1" a="1"/>
  <c r="T34" i="1" a="1"/>
  <c r="T70" i="1" a="1"/>
  <c r="T67" i="1" a="1"/>
  <c r="T58" i="1" a="1"/>
  <c r="T35" i="1" a="1"/>
  <c r="T27" i="1" a="1"/>
  <c r="T60" i="1" a="1"/>
  <c r="T49" i="1" a="1"/>
  <c r="T64" i="1" a="1"/>
  <c r="T37" i="1" a="1"/>
  <c r="T33" i="1" a="1"/>
  <c r="T61" i="1" a="1"/>
  <c r="T50" i="1" a="1"/>
  <c r="T36" i="1" a="1"/>
  <c r="T43" i="1" a="1"/>
  <c r="T41" i="1" a="1"/>
  <c r="T39" i="1" a="1"/>
  <c r="T28" i="1" a="1"/>
  <c r="T46" i="1" a="1"/>
  <c r="T52" i="1" a="1"/>
  <c r="I4" i="1" a="1"/>
  <c r="T5" i="1" a="1"/>
  <c r="I5" i="1" a="1"/>
  <c r="O7" i="1" l="1"/>
  <c r="E7" i="1" s="1"/>
  <c r="O6" i="1"/>
  <c r="E6" i="1" s="1"/>
  <c r="O8" i="1"/>
  <c r="E8" i="1" s="1"/>
  <c r="I4" i="1"/>
  <c r="T68" i="1"/>
  <c r="T64" i="1"/>
  <c r="T60" i="1"/>
  <c r="T56" i="1"/>
  <c r="T52" i="1"/>
  <c r="T48" i="1"/>
  <c r="T44" i="1"/>
  <c r="T40" i="1"/>
  <c r="T36" i="1"/>
  <c r="T32" i="1"/>
  <c r="T28" i="1"/>
  <c r="T67" i="1"/>
  <c r="T63" i="1"/>
  <c r="T59" i="1"/>
  <c r="T55" i="1"/>
  <c r="T51" i="1"/>
  <c r="T47" i="1"/>
  <c r="T43" i="1"/>
  <c r="T39" i="1"/>
  <c r="T35" i="1"/>
  <c r="T31" i="1"/>
  <c r="T27" i="1"/>
  <c r="T70" i="1"/>
  <c r="T66" i="1"/>
  <c r="T62" i="1"/>
  <c r="T58" i="1"/>
  <c r="T54" i="1"/>
  <c r="T50" i="1"/>
  <c r="T46" i="1"/>
  <c r="T42" i="1"/>
  <c r="T38" i="1"/>
  <c r="T34" i="1"/>
  <c r="T30" i="1"/>
  <c r="T26" i="1"/>
  <c r="T69" i="1"/>
  <c r="T65" i="1"/>
  <c r="T61" i="1"/>
  <c r="T57" i="1"/>
  <c r="T53" i="1"/>
  <c r="T49" i="1"/>
  <c r="T45" i="1"/>
  <c r="T41" i="1"/>
  <c r="T37" i="1"/>
  <c r="T33" i="1"/>
  <c r="T29" i="1"/>
  <c r="T5" i="1"/>
  <c r="I5" i="1"/>
  <c r="AM4" i="1"/>
  <c r="T6" i="1" a="1"/>
  <c r="T7" i="1" a="1"/>
  <c r="I7" i="1" a="1"/>
  <c r="I6" i="1" a="1"/>
  <c r="T8" i="1" a="1"/>
  <c r="I8" i="1" a="1"/>
  <c r="T6" i="1" l="1"/>
  <c r="I7" i="1"/>
  <c r="T7" i="1"/>
  <c r="L10" i="1"/>
  <c r="I8" i="1"/>
  <c r="T8" i="1"/>
  <c r="I6" i="1"/>
  <c r="L11" i="1"/>
  <c r="L9" i="1"/>
  <c r="AJ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5" i="1"/>
  <c r="O10" i="1" a="1"/>
  <c r="O9" i="1" a="1"/>
  <c r="O11" i="1" a="1"/>
  <c r="O10" i="1" l="1"/>
  <c r="E10" i="1" s="1"/>
  <c r="O11" i="1"/>
  <c r="E11" i="1" s="1"/>
  <c r="O9" i="1"/>
  <c r="E9" i="1" s="1"/>
  <c r="AK5" i="1"/>
  <c r="AL5" i="1" s="1"/>
  <c r="AM5" i="1" s="1"/>
  <c r="AJ6" i="1"/>
  <c r="T9" i="1" a="1"/>
  <c r="T10" i="1" a="1"/>
  <c r="I10" i="1" a="1"/>
  <c r="T11" i="1" a="1"/>
  <c r="I11" i="1" a="1"/>
  <c r="V12" i="1" a="1"/>
  <c r="I9" i="1" a="1"/>
  <c r="T9" i="1" l="1"/>
  <c r="I10" i="1"/>
  <c r="T10" i="1"/>
  <c r="L13" i="1"/>
  <c r="I9" i="1"/>
  <c r="V12" i="1"/>
  <c r="I11" i="1"/>
  <c r="T11" i="1"/>
  <c r="L14" i="1"/>
  <c r="L12" i="1"/>
  <c r="AK6" i="1"/>
  <c r="AL6" i="1" s="1"/>
  <c r="AM6" i="1" s="1"/>
  <c r="AJ7" i="1"/>
  <c r="O13" i="1" a="1"/>
  <c r="W12" i="1" a="1"/>
  <c r="O14" i="1" a="1"/>
  <c r="O12" i="1" a="1"/>
  <c r="O13" i="1" l="1"/>
  <c r="E13" i="1" s="1"/>
  <c r="O12" i="1"/>
  <c r="E12" i="1" s="1"/>
  <c r="O14" i="1"/>
  <c r="E14" i="1" s="1"/>
  <c r="W12" i="1"/>
  <c r="AJ8" i="1"/>
  <c r="AK7" i="1"/>
  <c r="AL7" i="1" s="1"/>
  <c r="AM7" i="1" s="1"/>
  <c r="T12" i="1" a="1"/>
  <c r="T13" i="1" a="1"/>
  <c r="I13" i="1" a="1"/>
  <c r="I12" i="1" a="1"/>
  <c r="T14" i="1" a="1"/>
  <c r="I14" i="1" a="1"/>
  <c r="T12" i="1" l="1"/>
  <c r="I13" i="1"/>
  <c r="T13" i="1"/>
  <c r="L16" i="1"/>
  <c r="I14" i="1"/>
  <c r="T14" i="1"/>
  <c r="I12" i="1"/>
  <c r="L17" i="1"/>
  <c r="L15" i="1"/>
  <c r="AJ9" i="1"/>
  <c r="AK8" i="1"/>
  <c r="AL8" i="1" s="1"/>
  <c r="AM8" i="1" s="1"/>
  <c r="O16" i="1" a="1"/>
  <c r="O15" i="1" a="1"/>
  <c r="O17" i="1" a="1"/>
  <c r="O16" i="1" l="1"/>
  <c r="E16" i="1" s="1"/>
  <c r="O17" i="1"/>
  <c r="E17" i="1" s="1"/>
  <c r="O15" i="1"/>
  <c r="E15" i="1" s="1"/>
  <c r="AJ10" i="1"/>
  <c r="AK9" i="1"/>
  <c r="AL9" i="1" s="1"/>
  <c r="AM9" i="1" s="1"/>
  <c r="T15" i="1" a="1"/>
  <c r="T16" i="1" a="1"/>
  <c r="I16" i="1" a="1"/>
  <c r="I15" i="1" a="1"/>
  <c r="T17" i="1" a="1"/>
  <c r="I17" i="1" a="1"/>
  <c r="T15" i="1" l="1"/>
  <c r="I16" i="1"/>
  <c r="T16" i="1"/>
  <c r="L19" i="1"/>
  <c r="I17" i="1"/>
  <c r="T17" i="1"/>
  <c r="I15" i="1"/>
  <c r="L18" i="1"/>
  <c r="L20" i="1"/>
  <c r="AJ11" i="1"/>
  <c r="AK10" i="1"/>
  <c r="AL10" i="1" s="1"/>
  <c r="AM10" i="1" s="1"/>
  <c r="O19" i="1" a="1"/>
  <c r="O20" i="1" a="1"/>
  <c r="O18" i="1" a="1"/>
  <c r="O19" i="1" l="1"/>
  <c r="E19" i="1" s="1"/>
  <c r="O18" i="1"/>
  <c r="E18" i="1" s="1"/>
  <c r="O20" i="1"/>
  <c r="E20" i="1" s="1"/>
  <c r="AJ12" i="1"/>
  <c r="AK11" i="1"/>
  <c r="AL11" i="1" s="1"/>
  <c r="AM11" i="1" s="1"/>
  <c r="T18" i="1" a="1"/>
  <c r="T19" i="1" a="1"/>
  <c r="I19" i="1" a="1"/>
  <c r="T20" i="1" a="1"/>
  <c r="I20" i="1" a="1"/>
  <c r="I18" i="1" a="1"/>
  <c r="T18" i="1" l="1"/>
  <c r="I19" i="1"/>
  <c r="T19" i="1"/>
  <c r="L22" i="1"/>
  <c r="I18" i="1"/>
  <c r="I20" i="1"/>
  <c r="T20" i="1"/>
  <c r="L23" i="1"/>
  <c r="L21" i="1"/>
  <c r="AJ13" i="1"/>
  <c r="AK12" i="1"/>
  <c r="AL12" i="1" s="1"/>
  <c r="AM12" i="1" s="1"/>
  <c r="O22" i="1" a="1"/>
  <c r="O21" i="1" a="1"/>
  <c r="O23" i="1" a="1"/>
  <c r="O22" i="1" l="1"/>
  <c r="E22" i="1" s="1"/>
  <c r="O23" i="1"/>
  <c r="E23" i="1" s="1"/>
  <c r="O21" i="1"/>
  <c r="E21" i="1" s="1"/>
  <c r="AJ14" i="1"/>
  <c r="AK13" i="1"/>
  <c r="AL13" i="1" s="1"/>
  <c r="AM13" i="1" s="1"/>
  <c r="T21" i="1" a="1"/>
  <c r="T22" i="1" a="1"/>
  <c r="I22" i="1" a="1"/>
  <c r="T23" i="1" a="1"/>
  <c r="I23" i="1" a="1"/>
  <c r="I21" i="1" a="1"/>
  <c r="T21" i="1" l="1"/>
  <c r="I22" i="1"/>
  <c r="T22" i="1"/>
  <c r="L25" i="1"/>
  <c r="I21" i="1"/>
  <c r="I23" i="1"/>
  <c r="T23" i="1"/>
  <c r="L24" i="1"/>
  <c r="AJ15" i="1"/>
  <c r="AK14" i="1"/>
  <c r="AL14" i="1" s="1"/>
  <c r="AM14" i="1" s="1"/>
  <c r="O25" i="1" a="1"/>
  <c r="O24" i="1" a="1"/>
  <c r="O25" i="1" l="1"/>
  <c r="E25" i="1" s="1"/>
  <c r="O24" i="1"/>
  <c r="E24" i="1" s="1"/>
  <c r="AJ16" i="1"/>
  <c r="AK15" i="1"/>
  <c r="AL15" i="1" s="1"/>
  <c r="AM15" i="1" s="1"/>
  <c r="T24" i="1" a="1"/>
  <c r="T25" i="1" a="1"/>
  <c r="I25" i="1" a="1"/>
  <c r="I24" i="1" a="1"/>
  <c r="T24" i="1" l="1"/>
  <c r="I25" i="1"/>
  <c r="T25" i="1"/>
  <c r="I24" i="1"/>
  <c r="AJ17" i="1"/>
  <c r="AK16" i="1"/>
  <c r="AL16" i="1" s="1"/>
  <c r="AM16" i="1" s="1"/>
  <c r="AJ18" i="1" l="1"/>
  <c r="AK17" i="1"/>
  <c r="AL17" i="1" s="1"/>
  <c r="AM17" i="1" s="1"/>
  <c r="AJ19" i="1" l="1"/>
  <c r="AK18" i="1"/>
  <c r="AL18" i="1" s="1"/>
  <c r="AM18" i="1" s="1"/>
  <c r="AJ20" i="1" l="1"/>
  <c r="AK19" i="1"/>
  <c r="AL19" i="1" s="1"/>
  <c r="AM19" i="1" s="1"/>
  <c r="AJ21" i="1" l="1"/>
  <c r="AK20" i="1"/>
  <c r="AL20" i="1" s="1"/>
  <c r="AM20" i="1" s="1"/>
  <c r="AJ22" i="1" l="1"/>
  <c r="AK21" i="1"/>
  <c r="AL21" i="1" s="1"/>
  <c r="AM21" i="1" s="1"/>
  <c r="AJ23" i="1" l="1"/>
  <c r="AK22" i="1"/>
  <c r="AL22" i="1" s="1"/>
  <c r="AM22" i="1" s="1"/>
  <c r="AJ24" i="1" l="1"/>
  <c r="AK23" i="1"/>
  <c r="AL23" i="1" s="1"/>
  <c r="AM23" i="1" s="1"/>
  <c r="AJ25" i="1" l="1"/>
  <c r="AK24" i="1"/>
  <c r="AL24" i="1" s="1"/>
  <c r="AM24" i="1" s="1"/>
  <c r="AJ26" i="1" l="1"/>
  <c r="AK25" i="1"/>
  <c r="AL25" i="1" s="1"/>
  <c r="AM25" i="1" s="1"/>
  <c r="AJ27" i="1" l="1"/>
  <c r="AK26" i="1"/>
  <c r="AL26" i="1" s="1"/>
  <c r="AM26" i="1" s="1"/>
  <c r="AJ28" i="1" l="1"/>
  <c r="AK27" i="1"/>
  <c r="AL27" i="1" s="1"/>
  <c r="AM27" i="1" s="1"/>
  <c r="AJ29" i="1" l="1"/>
  <c r="AK28" i="1"/>
  <c r="AL28" i="1" s="1"/>
  <c r="AM28" i="1" s="1"/>
  <c r="AJ30" i="1" l="1"/>
  <c r="AK29" i="1"/>
  <c r="AL29" i="1" s="1"/>
  <c r="AM29" i="1" s="1"/>
  <c r="AJ31" i="1" l="1"/>
  <c r="AK30" i="1"/>
  <c r="AL30" i="1" s="1"/>
  <c r="AM30" i="1" s="1"/>
  <c r="AJ32" i="1" l="1"/>
  <c r="AK31" i="1"/>
  <c r="AL31" i="1" s="1"/>
  <c r="AM31" i="1" s="1"/>
  <c r="AJ33" i="1" l="1"/>
  <c r="AK32" i="1"/>
  <c r="AL32" i="1" s="1"/>
  <c r="AM32" i="1" s="1"/>
  <c r="AJ34" i="1" l="1"/>
  <c r="AK33" i="1"/>
  <c r="AL33" i="1" s="1"/>
  <c r="AM33" i="1" s="1"/>
  <c r="AJ35" i="1" l="1"/>
  <c r="AK34" i="1"/>
  <c r="AL34" i="1" s="1"/>
  <c r="AM34" i="1" s="1"/>
  <c r="AJ36" i="1" l="1"/>
  <c r="AK35" i="1"/>
  <c r="AL35" i="1" s="1"/>
  <c r="AM35" i="1" s="1"/>
  <c r="AJ37" i="1" l="1"/>
  <c r="AK36" i="1"/>
  <c r="AL36" i="1" s="1"/>
  <c r="AM36" i="1" s="1"/>
  <c r="AJ38" i="1" l="1"/>
  <c r="AK37" i="1"/>
  <c r="AL37" i="1" s="1"/>
  <c r="AM37" i="1" s="1"/>
  <c r="AJ39" i="1" l="1"/>
  <c r="AK38" i="1"/>
  <c r="AL38" i="1" s="1"/>
  <c r="AM38" i="1" s="1"/>
  <c r="AJ40" i="1" l="1"/>
  <c r="AK39" i="1"/>
  <c r="AL39" i="1" s="1"/>
  <c r="AM39" i="1" s="1"/>
  <c r="AJ41" i="1" l="1"/>
  <c r="AK40" i="1"/>
  <c r="AL40" i="1" s="1"/>
  <c r="AM40" i="1" s="1"/>
  <c r="AJ42" i="1" l="1"/>
  <c r="AK41" i="1"/>
  <c r="AL41" i="1" s="1"/>
  <c r="AM41" i="1" s="1"/>
  <c r="AJ43" i="1" l="1"/>
  <c r="AK42" i="1"/>
  <c r="AL42" i="1" s="1"/>
  <c r="AM42" i="1" s="1"/>
  <c r="AJ44" i="1" l="1"/>
  <c r="AK43" i="1"/>
  <c r="AL43" i="1" s="1"/>
  <c r="AM43" i="1" s="1"/>
  <c r="AJ45" i="1" l="1"/>
  <c r="AK44" i="1"/>
  <c r="AL44" i="1" s="1"/>
  <c r="AM44" i="1" s="1"/>
  <c r="AJ46" i="1" l="1"/>
  <c r="AK45" i="1"/>
  <c r="AL45" i="1" s="1"/>
  <c r="AM45" i="1" s="1"/>
  <c r="AJ47" i="1" l="1"/>
  <c r="AK46" i="1"/>
  <c r="AL46" i="1" s="1"/>
  <c r="AM46" i="1" s="1"/>
  <c r="AJ48" i="1" l="1"/>
  <c r="AK47" i="1"/>
  <c r="AL47" i="1" s="1"/>
  <c r="AM47" i="1" s="1"/>
  <c r="AJ49" i="1" l="1"/>
  <c r="AK48" i="1"/>
  <c r="AL48" i="1" s="1"/>
  <c r="AM48" i="1" s="1"/>
  <c r="AJ50" i="1" l="1"/>
  <c r="AK49" i="1"/>
  <c r="AL49" i="1" s="1"/>
  <c r="AM49" i="1" s="1"/>
  <c r="AJ51" i="1" l="1"/>
  <c r="AK50" i="1"/>
  <c r="AL50" i="1" s="1"/>
  <c r="AM50" i="1" s="1"/>
  <c r="AJ52" i="1" l="1"/>
  <c r="AK51" i="1"/>
  <c r="AL51" i="1" s="1"/>
  <c r="AM51" i="1" s="1"/>
  <c r="AJ53" i="1" l="1"/>
  <c r="AK52" i="1"/>
  <c r="AL52" i="1" s="1"/>
  <c r="AM52" i="1" s="1"/>
  <c r="AJ54" i="1" l="1"/>
  <c r="AK53" i="1"/>
  <c r="AL53" i="1" s="1"/>
  <c r="AM53" i="1" s="1"/>
  <c r="AJ55" i="1" l="1"/>
  <c r="AK54" i="1"/>
  <c r="AL54" i="1" s="1"/>
  <c r="AM54" i="1" s="1"/>
  <c r="AJ56" i="1" l="1"/>
  <c r="AK55" i="1"/>
  <c r="AL55" i="1" s="1"/>
  <c r="AM55" i="1" s="1"/>
  <c r="AJ57" i="1" l="1"/>
  <c r="AK56" i="1"/>
  <c r="AL56" i="1" s="1"/>
  <c r="AM56" i="1" s="1"/>
  <c r="AJ58" i="1" l="1"/>
  <c r="AK57" i="1"/>
  <c r="AL57" i="1" s="1"/>
  <c r="AM57" i="1" s="1"/>
  <c r="AJ59" i="1" l="1"/>
  <c r="AK58" i="1"/>
  <c r="AL58" i="1" s="1"/>
  <c r="AM58" i="1" s="1"/>
  <c r="AJ60" i="1" l="1"/>
  <c r="AK59" i="1"/>
  <c r="AL59" i="1" s="1"/>
  <c r="AM59" i="1" s="1"/>
  <c r="AJ61" i="1" l="1"/>
  <c r="AK60" i="1"/>
  <c r="AL60" i="1" s="1"/>
  <c r="AM60" i="1" s="1"/>
  <c r="AJ62" i="1" l="1"/>
  <c r="AK61" i="1"/>
  <c r="AL61" i="1" s="1"/>
  <c r="AM61" i="1" s="1"/>
  <c r="AJ63" i="1" l="1"/>
  <c r="AK62" i="1"/>
  <c r="AL62" i="1" s="1"/>
  <c r="AM62" i="1" s="1"/>
  <c r="AJ64" i="1" l="1"/>
  <c r="AK63" i="1"/>
  <c r="AL63" i="1" s="1"/>
  <c r="AM63" i="1" s="1"/>
  <c r="AJ65" i="1" l="1"/>
  <c r="AK64" i="1"/>
  <c r="AL64" i="1" s="1"/>
  <c r="AM64" i="1" s="1"/>
  <c r="AJ66" i="1" l="1"/>
  <c r="AK65" i="1"/>
  <c r="AL65" i="1" s="1"/>
  <c r="AM65" i="1" s="1"/>
  <c r="AJ67" i="1" l="1"/>
  <c r="AK66" i="1"/>
  <c r="AL66" i="1" s="1"/>
  <c r="AM66" i="1" s="1"/>
  <c r="AJ68" i="1" l="1"/>
  <c r="AK67" i="1"/>
  <c r="AL67" i="1" s="1"/>
  <c r="AM67" i="1" s="1"/>
  <c r="AJ69" i="1" l="1"/>
  <c r="AK68" i="1"/>
  <c r="AL68" i="1" s="1"/>
  <c r="AM68" i="1" s="1"/>
  <c r="AJ70" i="1" l="1"/>
  <c r="AK70" i="1" s="1"/>
  <c r="AL70" i="1" s="1"/>
  <c r="AM70" i="1" s="1"/>
  <c r="AK69" i="1"/>
  <c r="AL69" i="1" s="1"/>
  <c r="AM6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<sst xmlns="http://schemas.openxmlformats.org/spreadsheetml/2006/main" count="44" uniqueCount="29">
  <si>
    <t>Points</t>
  </si>
  <si>
    <t>Soak</t>
  </si>
  <si>
    <t>Assured</t>
  </si>
  <si>
    <t>t_2900</t>
  </si>
  <si>
    <t>rH_2900</t>
  </si>
  <si>
    <t>Q_2900</t>
  </si>
  <si>
    <t>Julabo_HL</t>
  </si>
  <si>
    <t>HG2900.set_ts</t>
  </si>
  <si>
    <t>HG2900.set_rh</t>
  </si>
  <si>
    <t>HG2900.set_q</t>
  </si>
  <si>
    <t>Julabo_HL.write_Tsp1</t>
  </si>
  <si>
    <t>pt</t>
  </si>
  <si>
    <t>soak</t>
  </si>
  <si>
    <t>a230316b_s14test</t>
  </si>
  <si>
    <t>td1_ex_h1</t>
  </si>
  <si>
    <t>h2_ex_h1</t>
  </si>
  <si>
    <t>P1</t>
  </si>
  <si>
    <t>P2</t>
  </si>
  <si>
    <t>ts-2900</t>
  </si>
  <si>
    <t>tTc_ext</t>
  </si>
  <si>
    <t>RH ext</t>
  </si>
  <si>
    <t>tc</t>
  </si>
  <si>
    <t>set RH at TS2900</t>
  </si>
  <si>
    <t>tc_2900</t>
  </si>
  <si>
    <t>del_Tc</t>
  </si>
  <si>
    <t>trans</t>
  </si>
  <si>
    <t>delT julabo corr</t>
  </si>
  <si>
    <t>delT HG2900</t>
  </si>
  <si>
    <t>a230326b_s14test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</si>
</sst>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ddd\ d/mm/yyyy\ h:mm"/>
    <numFmt numFmtId="166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165" fontId="0" fillId="0" borderId="0" xfId="0" applyNumberFormat="1" applyAlignment="1">
      <alignment wrapText="1"/>
    </xf>
    <xf numFmtId="0" fontId="16" fillId="0" borderId="0" xfId="0" applyFont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70"/>
  <sheetViews>
    <sheetView tabSelected="1" workbookViewId="0">
      <selection activeCell="A2" sqref="A2"/>
    </sheetView>
  </sheetViews>
  <sheetFormatPr defaultRowHeight="15" x14ac:dyDescent="0.25"/>
  <cols>
    <col min="5" max="5" width="9.140625" style="10"/>
    <col min="9" max="9" width="9.5703125" style="6" bestFit="1" customWidth="1"/>
    <col min="20" max="20" width="9.5703125" style="6" bestFit="1" customWidth="1"/>
    <col min="21" max="26" width="9.5703125" style="6" customWidth="1"/>
    <col min="32" max="32" width="13.5703125" bestFit="1" customWidth="1"/>
    <col min="33" max="33" width="13.85546875" bestFit="1" customWidth="1"/>
    <col min="34" max="34" width="13.140625" bestFit="1" customWidth="1"/>
    <col min="35" max="35" width="20.42578125" bestFit="1" customWidth="1"/>
    <col min="39" max="39" width="20.5703125" style="5" bestFit="1" customWidth="1"/>
  </cols>
  <sheetData>
    <row r="1" spans="1:39" x14ac:dyDescent="0.25">
      <c r="A1" t="s">
        <v>28</v>
      </c>
      <c r="I1" s="6" t="s">
        <v>16</v>
      </c>
      <c r="K1" t="s">
        <v>27</v>
      </c>
      <c r="L1">
        <v>-0.26</v>
      </c>
      <c r="T1" s="6">
        <v>101325</v>
      </c>
      <c r="AC1" t="s">
        <v>13</v>
      </c>
    </row>
    <row r="2" spans="1:39" x14ac:dyDescent="0.25">
      <c r="A2" t="s">
        <v>0</v>
      </c>
      <c r="B2" t="s">
        <v>1</v>
      </c>
      <c r="C2" t="s">
        <v>2</v>
      </c>
      <c r="D2" t="s">
        <v>3</v>
      </c>
      <c r="E2" s="10" t="s">
        <v>4</v>
      </c>
      <c r="F2" t="s">
        <v>5</v>
      </c>
      <c r="G2" t="s">
        <v>6</v>
      </c>
      <c r="I2" s="6" t="s">
        <v>17</v>
      </c>
      <c r="K2" t="s">
        <v>26</v>
      </c>
      <c r="L2">
        <v>0.3</v>
      </c>
      <c r="T2" s="6">
        <v>101325</v>
      </c>
      <c r="AC2" t="s">
        <v>0</v>
      </c>
      <c r="AD2" t="s">
        <v>1</v>
      </c>
      <c r="AE2" t="s">
        <v>2</v>
      </c>
      <c r="AF2" t="s">
        <v>3</v>
      </c>
      <c r="AG2" t="s">
        <v>4</v>
      </c>
      <c r="AH2" t="s">
        <v>5</v>
      </c>
      <c r="AI2" t="s">
        <v>6</v>
      </c>
    </row>
    <row r="3" spans="1:39" s="7" customFormat="1" ht="45" x14ac:dyDescent="0.25">
      <c r="A3" s="7" t="s">
        <v>11</v>
      </c>
      <c r="B3" s="7" t="s">
        <v>12</v>
      </c>
      <c r="D3" s="7" t="s">
        <v>7</v>
      </c>
      <c r="E3" s="11" t="s">
        <v>8</v>
      </c>
      <c r="F3" s="7" t="s">
        <v>9</v>
      </c>
      <c r="G3" s="7" t="s">
        <v>10</v>
      </c>
      <c r="I3" s="7" t="s">
        <v>14</v>
      </c>
      <c r="J3" s="7" t="s">
        <v>18</v>
      </c>
      <c r="K3" s="7" t="s">
        <v>24</v>
      </c>
      <c r="L3" s="7" t="s">
        <v>23</v>
      </c>
      <c r="M3" s="7" t="s">
        <v>19</v>
      </c>
      <c r="N3" t="s">
        <v>20</v>
      </c>
      <c r="O3" s="7" t="s">
        <v>22</v>
      </c>
      <c r="P3" t="s">
        <v>21</v>
      </c>
      <c r="T3" s="7" t="s">
        <v>15</v>
      </c>
      <c r="AC3" s="9" t="s">
        <v>11</v>
      </c>
      <c r="AD3" s="9" t="s">
        <v>12</v>
      </c>
      <c r="AF3" s="7" t="s">
        <v>7</v>
      </c>
      <c r="AG3" s="7" t="s">
        <v>8</v>
      </c>
      <c r="AH3" s="7" t="s">
        <v>9</v>
      </c>
      <c r="AI3" s="7" t="s">
        <v>10</v>
      </c>
      <c r="AM3" s="8">
        <f ca="1">NOW()</f>
        <v>45011.808614583337</v>
      </c>
    </row>
    <row r="4" spans="1:39" x14ac:dyDescent="0.25">
      <c r="A4">
        <v>1</v>
      </c>
      <c r="B4">
        <v>60</v>
      </c>
      <c r="C4">
        <v>0</v>
      </c>
      <c r="D4">
        <f>M4+$L$1</f>
        <v>4.74</v>
      </c>
      <c r="E4" s="10">
        <f>O4</f>
        <v>50</v>
      </c>
      <c r="F4">
        <v>10</v>
      </c>
      <c r="G4">
        <f>M4+0.33</f>
        <v>5.33</v>
      </c>
      <c r="I4" s="6" cm="1">
        <f t="array" ref="I4">td_ex_h($E4,$D4,$T$1,$T$2, 1,0)</f>
        <v>-4.247414350112332</v>
      </c>
      <c r="J4">
        <v>5</v>
      </c>
      <c r="K4">
        <v>0.26</v>
      </c>
      <c r="L4">
        <f>D4+K4</f>
        <v>5</v>
      </c>
      <c r="M4">
        <v>5</v>
      </c>
      <c r="N4">
        <v>50</v>
      </c>
      <c r="O4" s="6" cm="1">
        <f t="array" ref="O4">h2exh1($N4,$M4,L4,$T$1,$T$2,1)</f>
        <v>50</v>
      </c>
      <c r="P4" t="s">
        <v>25</v>
      </c>
      <c r="R4">
        <f>R3+B4</f>
        <v>60</v>
      </c>
      <c r="S4">
        <f>R4/60</f>
        <v>1</v>
      </c>
      <c r="AC4" s="2">
        <v>1</v>
      </c>
      <c r="AD4" s="1">
        <v>50</v>
      </c>
      <c r="AE4">
        <v>0</v>
      </c>
      <c r="AF4" s="2">
        <v>23</v>
      </c>
      <c r="AG4" s="2">
        <v>50</v>
      </c>
      <c r="AH4" s="2">
        <v>20</v>
      </c>
      <c r="AI4" s="2">
        <f>AF4+0.3</f>
        <v>23.3</v>
      </c>
      <c r="AJ4">
        <f>SUM(AD4+AJ3)</f>
        <v>50</v>
      </c>
      <c r="AK4" s="4">
        <f>AJ4/60</f>
        <v>0.83333333333333337</v>
      </c>
      <c r="AL4" s="3">
        <f>AK4/24</f>
        <v>3.4722222222222224E-2</v>
      </c>
      <c r="AM4" s="5">
        <f ca="1">$AM$3+AL4</f>
        <v>45011.843336805556</v>
      </c>
    </row>
    <row r="5" spans="1:39" x14ac:dyDescent="0.25">
      <c r="A5">
        <v>2</v>
      </c>
      <c r="B5">
        <v>120</v>
      </c>
      <c r="C5">
        <v>0</v>
      </c>
      <c r="D5">
        <f t="shared" ref="D5:D25" si="0">M5+$L$1</f>
        <v>4.74</v>
      </c>
      <c r="E5" s="10">
        <f t="shared" ref="E5:E25" si="1">O5</f>
        <v>10</v>
      </c>
      <c r="F5">
        <v>10</v>
      </c>
      <c r="G5">
        <f t="shared" ref="G5:G25" si="2">M5+0.33</f>
        <v>5.33</v>
      </c>
      <c r="I5" s="6" cm="1">
        <f t="array" ref="I5">td_ex_h($E5,$D5,$T$1,$T$2, 1,0)</f>
        <v>-21.931689859813055</v>
      </c>
      <c r="K5">
        <v>0.26</v>
      </c>
      <c r="L5">
        <f t="shared" ref="L5:L24" si="3">D5+K5</f>
        <v>5</v>
      </c>
      <c r="M5">
        <v>5</v>
      </c>
      <c r="N5">
        <v>10</v>
      </c>
      <c r="O5" s="6" cm="1">
        <f t="array" ref="O5">h2exh1($N5,$M5,L5,$T$1,$T$2,1)</f>
        <v>10</v>
      </c>
      <c r="P5">
        <v>1</v>
      </c>
      <c r="R5">
        <f t="shared" ref="R5:R25" si="4">R4+B5</f>
        <v>180</v>
      </c>
      <c r="S5">
        <f t="shared" ref="S5:S25" si="5">R5/60</f>
        <v>3</v>
      </c>
      <c r="T5" s="6" cm="1">
        <f t="array" ref="T5">h2exh1($E5,$D5,$G5-$L$2,$T$1,$T$2,1)</f>
        <v>9.799565807634135</v>
      </c>
      <c r="AC5" s="2">
        <v>2</v>
      </c>
      <c r="AD5" s="2">
        <v>240</v>
      </c>
      <c r="AE5">
        <v>0</v>
      </c>
      <c r="AF5" s="2">
        <v>5</v>
      </c>
      <c r="AG5" s="2">
        <v>50</v>
      </c>
      <c r="AH5" s="2">
        <v>20</v>
      </c>
      <c r="AI5" s="2">
        <f>AF5+0.3</f>
        <v>5.3</v>
      </c>
      <c r="AJ5">
        <f>SUM(AD5+AJ4)</f>
        <v>290</v>
      </c>
      <c r="AK5" s="4">
        <f>AJ5/60</f>
        <v>4.833333333333333</v>
      </c>
      <c r="AL5" s="3">
        <f>AK5/24</f>
        <v>0.20138888888888887</v>
      </c>
      <c r="AM5" s="5">
        <f t="shared" ref="AM5:AM68" ca="1" si="6">$AM$3+AL5</f>
        <v>45012.010003472227</v>
      </c>
    </row>
    <row r="6" spans="1:39" x14ac:dyDescent="0.25">
      <c r="A6">
        <v>3</v>
      </c>
      <c r="B6">
        <v>80</v>
      </c>
      <c r="C6">
        <v>0</v>
      </c>
      <c r="D6">
        <f t="shared" si="0"/>
        <v>4.74</v>
      </c>
      <c r="E6" s="10">
        <f t="shared" si="1"/>
        <v>29.999999999999996</v>
      </c>
      <c r="F6">
        <v>10</v>
      </c>
      <c r="G6">
        <f t="shared" si="2"/>
        <v>5.33</v>
      </c>
      <c r="I6" s="6" cm="1">
        <f t="array" ref="I6">td_ex_h($E6,$D6,$T$1,$T$2, 1,0)</f>
        <v>-10.125033737472327</v>
      </c>
      <c r="K6">
        <v>0.26</v>
      </c>
      <c r="L6">
        <f t="shared" si="3"/>
        <v>5</v>
      </c>
      <c r="M6">
        <v>5</v>
      </c>
      <c r="N6">
        <v>30</v>
      </c>
      <c r="O6" s="6" cm="1">
        <f t="array" ref="O6">h2exh1($N6,$M6,L6,$T$1,$T$2,1)</f>
        <v>29.999999999999996</v>
      </c>
      <c r="P6">
        <v>2</v>
      </c>
      <c r="R6">
        <f t="shared" si="4"/>
        <v>260</v>
      </c>
      <c r="S6">
        <f t="shared" si="5"/>
        <v>4.333333333333333</v>
      </c>
      <c r="T6" s="6" cm="1">
        <f t="array" ref="T6">h2exh1($E6,$D6,$G6-$L$2,$T$1,$T$2,1)</f>
        <v>29.398697422902401</v>
      </c>
      <c r="AC6" s="2">
        <v>3</v>
      </c>
      <c r="AD6" s="2">
        <v>80</v>
      </c>
      <c r="AE6">
        <v>0</v>
      </c>
      <c r="AF6" s="2">
        <v>5</v>
      </c>
      <c r="AG6" s="2">
        <v>10</v>
      </c>
      <c r="AH6" s="2">
        <v>20</v>
      </c>
      <c r="AI6" s="2">
        <f t="shared" ref="AI6:AI69" si="7">AF6+0.3</f>
        <v>5.3</v>
      </c>
      <c r="AJ6">
        <f t="shared" ref="AJ6:AJ69" si="8">SUM(AD6+AJ5)</f>
        <v>370</v>
      </c>
      <c r="AK6" s="4">
        <f t="shared" ref="AK6:AK69" si="9">AJ6/60</f>
        <v>6.166666666666667</v>
      </c>
      <c r="AL6" s="3">
        <f t="shared" ref="AL6:AL69" si="10">AK6/24</f>
        <v>0.25694444444444448</v>
      </c>
      <c r="AM6" s="5">
        <f t="shared" ca="1" si="6"/>
        <v>45012.065559027782</v>
      </c>
    </row>
    <row r="7" spans="1:39" x14ac:dyDescent="0.25">
      <c r="A7">
        <v>4</v>
      </c>
      <c r="B7">
        <v>80</v>
      </c>
      <c r="C7">
        <v>0</v>
      </c>
      <c r="D7">
        <f t="shared" si="0"/>
        <v>4.74</v>
      </c>
      <c r="E7" s="10">
        <f t="shared" si="1"/>
        <v>50</v>
      </c>
      <c r="F7">
        <v>10</v>
      </c>
      <c r="G7">
        <f t="shared" si="2"/>
        <v>5.33</v>
      </c>
      <c r="I7" s="6" cm="1">
        <f t="array" ref="I7">td_ex_h($E7,$D7,$T$1,$T$2, 1,0)</f>
        <v>-4.247414350112332</v>
      </c>
      <c r="K7">
        <v>0.26</v>
      </c>
      <c r="L7">
        <f t="shared" si="3"/>
        <v>5</v>
      </c>
      <c r="M7">
        <v>5</v>
      </c>
      <c r="N7">
        <v>50</v>
      </c>
      <c r="O7" s="6" cm="1">
        <f t="array" ref="O7">h2exh1($N7,$M7,L7,$T$1,$T$2,1)</f>
        <v>50</v>
      </c>
      <c r="P7">
        <v>3</v>
      </c>
      <c r="R7">
        <f t="shared" si="4"/>
        <v>340</v>
      </c>
      <c r="S7">
        <f t="shared" si="5"/>
        <v>5.666666666666667</v>
      </c>
      <c r="T7" s="6" cm="1">
        <f t="array" ref="T7">h2exh1($E7,$D7,$G7-$L$2,$T$1,$T$2,1)</f>
        <v>48.997829038170678</v>
      </c>
      <c r="AC7" s="2">
        <v>4</v>
      </c>
      <c r="AD7" s="2">
        <v>80</v>
      </c>
      <c r="AE7">
        <v>0</v>
      </c>
      <c r="AF7" s="2">
        <v>5</v>
      </c>
      <c r="AG7" s="2">
        <v>30</v>
      </c>
      <c r="AH7" s="2">
        <v>20</v>
      </c>
      <c r="AI7" s="2">
        <f t="shared" si="7"/>
        <v>5.3</v>
      </c>
      <c r="AJ7">
        <f t="shared" si="8"/>
        <v>450</v>
      </c>
      <c r="AK7" s="4">
        <f t="shared" si="9"/>
        <v>7.5</v>
      </c>
      <c r="AL7" s="3">
        <f t="shared" si="10"/>
        <v>0.3125</v>
      </c>
      <c r="AM7" s="5">
        <f t="shared" ca="1" si="6"/>
        <v>45012.121114583337</v>
      </c>
    </row>
    <row r="8" spans="1:39" x14ac:dyDescent="0.25">
      <c r="A8">
        <v>5</v>
      </c>
      <c r="B8">
        <v>80</v>
      </c>
      <c r="C8">
        <v>0</v>
      </c>
      <c r="D8">
        <f t="shared" si="0"/>
        <v>4.74</v>
      </c>
      <c r="E8" s="10">
        <f t="shared" si="1"/>
        <v>70</v>
      </c>
      <c r="F8">
        <v>10</v>
      </c>
      <c r="G8">
        <f t="shared" si="2"/>
        <v>5.33</v>
      </c>
      <c r="I8" s="6" cm="1">
        <f t="array" ref="I8">td_ex_h($E8,$D8,$T$1,$T$2, 1,0)</f>
        <v>-0.22950011708448836</v>
      </c>
      <c r="K8">
        <v>0.26</v>
      </c>
      <c r="L8">
        <f t="shared" si="3"/>
        <v>5</v>
      </c>
      <c r="M8">
        <v>5</v>
      </c>
      <c r="N8">
        <v>70</v>
      </c>
      <c r="O8" s="6" cm="1">
        <f t="array" ref="O8">h2exh1($N8,$M8,L8,$T$1,$T$2,1)</f>
        <v>70</v>
      </c>
      <c r="P8">
        <v>4</v>
      </c>
      <c r="R8">
        <f t="shared" si="4"/>
        <v>420</v>
      </c>
      <c r="S8">
        <f t="shared" si="5"/>
        <v>7</v>
      </c>
      <c r="T8" s="6" cm="1">
        <f t="array" ref="T8">h2exh1($E8,$D8,$G8-$L$2,$T$1,$T$2,1)</f>
        <v>68.596960653438941</v>
      </c>
      <c r="AC8" s="2">
        <v>5</v>
      </c>
      <c r="AD8" s="2">
        <v>80</v>
      </c>
      <c r="AE8">
        <v>0</v>
      </c>
      <c r="AF8" s="2">
        <v>5</v>
      </c>
      <c r="AG8" s="2">
        <v>50</v>
      </c>
      <c r="AH8" s="2">
        <v>20</v>
      </c>
      <c r="AI8" s="2">
        <f t="shared" si="7"/>
        <v>5.3</v>
      </c>
      <c r="AJ8">
        <f t="shared" si="8"/>
        <v>530</v>
      </c>
      <c r="AK8" s="4">
        <f t="shared" si="9"/>
        <v>8.8333333333333339</v>
      </c>
      <c r="AL8" s="3">
        <f t="shared" si="10"/>
        <v>0.36805555555555558</v>
      </c>
      <c r="AM8" s="5">
        <f t="shared" ca="1" si="6"/>
        <v>45012.176670138891</v>
      </c>
    </row>
    <row r="9" spans="1:39" x14ac:dyDescent="0.25">
      <c r="A9">
        <v>6</v>
      </c>
      <c r="B9">
        <v>120</v>
      </c>
      <c r="C9">
        <v>0</v>
      </c>
      <c r="D9">
        <f t="shared" si="0"/>
        <v>4.74</v>
      </c>
      <c r="E9" s="10">
        <f t="shared" si="1"/>
        <v>95</v>
      </c>
      <c r="F9">
        <v>10</v>
      </c>
      <c r="G9">
        <f t="shared" si="2"/>
        <v>5.33</v>
      </c>
      <c r="I9" s="6" cm="1">
        <f t="array" ref="I9">td_ex_h($E9,$D9,$T$1,$T$2, 1,0)</f>
        <v>4.0083503436939578</v>
      </c>
      <c r="K9">
        <v>0.26</v>
      </c>
      <c r="L9">
        <f t="shared" si="3"/>
        <v>5</v>
      </c>
      <c r="M9">
        <v>5</v>
      </c>
      <c r="N9">
        <v>95</v>
      </c>
      <c r="O9" s="6" cm="1">
        <f t="array" ref="O9">h2exh1($N9,$M9,L9,$T$1,$T$2,1)</f>
        <v>95</v>
      </c>
      <c r="P9">
        <v>5</v>
      </c>
      <c r="R9">
        <f t="shared" si="4"/>
        <v>540</v>
      </c>
      <c r="S9">
        <f t="shared" si="5"/>
        <v>9</v>
      </c>
      <c r="T9" s="6" cm="1">
        <f t="array" ref="T9">h2exh1($E9,$D9,$G9-$L$2,$T$1,$T$2,1)</f>
        <v>93.095875172524273</v>
      </c>
      <c r="AC9" s="2">
        <v>6</v>
      </c>
      <c r="AD9" s="2">
        <v>80</v>
      </c>
      <c r="AE9">
        <v>0</v>
      </c>
      <c r="AF9" s="2">
        <v>5</v>
      </c>
      <c r="AG9" s="2">
        <v>70</v>
      </c>
      <c r="AH9" s="2">
        <v>20</v>
      </c>
      <c r="AI9" s="2">
        <f t="shared" si="7"/>
        <v>5.3</v>
      </c>
      <c r="AJ9">
        <f t="shared" si="8"/>
        <v>610</v>
      </c>
      <c r="AK9" s="4">
        <f t="shared" si="9"/>
        <v>10.166666666666666</v>
      </c>
      <c r="AL9" s="3">
        <f t="shared" si="10"/>
        <v>0.4236111111111111</v>
      </c>
      <c r="AM9" s="5">
        <f t="shared" ca="1" si="6"/>
        <v>45012.232225694446</v>
      </c>
    </row>
    <row r="10" spans="1:39" x14ac:dyDescent="0.25">
      <c r="A10">
        <v>7</v>
      </c>
      <c r="B10">
        <v>80</v>
      </c>
      <c r="C10">
        <v>0</v>
      </c>
      <c r="D10">
        <f t="shared" si="0"/>
        <v>4.74</v>
      </c>
      <c r="E10" s="10">
        <f t="shared" si="1"/>
        <v>50</v>
      </c>
      <c r="F10">
        <v>10</v>
      </c>
      <c r="G10">
        <f t="shared" si="2"/>
        <v>5.33</v>
      </c>
      <c r="I10" s="6" cm="1">
        <f t="array" ref="I10">td_ex_h($E10,$D10,$T$1,$T$2, 1,0)</f>
        <v>-4.247414350112332</v>
      </c>
      <c r="K10">
        <v>0.26</v>
      </c>
      <c r="L10">
        <f t="shared" si="3"/>
        <v>5</v>
      </c>
      <c r="M10">
        <v>5</v>
      </c>
      <c r="N10">
        <v>50</v>
      </c>
      <c r="O10" s="6" cm="1">
        <f t="array" ref="O10">h2exh1($N10,$M10,L10,$T$1,$T$2,1)</f>
        <v>50</v>
      </c>
      <c r="P10">
        <v>6</v>
      </c>
      <c r="R10">
        <f t="shared" si="4"/>
        <v>620</v>
      </c>
      <c r="S10">
        <f t="shared" si="5"/>
        <v>10.333333333333334</v>
      </c>
      <c r="T10" s="6" cm="1">
        <f t="array" ref="T10">h2exh1($E10,$D10,$G10-$L$2,$T$1,$T$2,1)</f>
        <v>48.997829038170678</v>
      </c>
      <c r="AC10" s="2">
        <v>7</v>
      </c>
      <c r="AD10" s="2">
        <v>80</v>
      </c>
      <c r="AE10">
        <v>0</v>
      </c>
      <c r="AF10" s="2">
        <v>5</v>
      </c>
      <c r="AG10" s="2">
        <v>95</v>
      </c>
      <c r="AH10" s="2">
        <v>20</v>
      </c>
      <c r="AI10" s="2">
        <f t="shared" si="7"/>
        <v>5.3</v>
      </c>
      <c r="AJ10">
        <f t="shared" si="8"/>
        <v>690</v>
      </c>
      <c r="AK10" s="4">
        <f t="shared" si="9"/>
        <v>11.5</v>
      </c>
      <c r="AL10" s="3">
        <f t="shared" si="10"/>
        <v>0.47916666666666669</v>
      </c>
      <c r="AM10" s="5">
        <f t="shared" ca="1" si="6"/>
        <v>45012.287781250001</v>
      </c>
    </row>
    <row r="11" spans="1:39" x14ac:dyDescent="0.25">
      <c r="A11">
        <v>8</v>
      </c>
      <c r="B11">
        <v>60</v>
      </c>
      <c r="C11">
        <v>0</v>
      </c>
      <c r="D11">
        <f t="shared" si="0"/>
        <v>22.74</v>
      </c>
      <c r="E11" s="10">
        <f t="shared" si="1"/>
        <v>50</v>
      </c>
      <c r="F11">
        <v>10</v>
      </c>
      <c r="G11">
        <f t="shared" si="2"/>
        <v>23.33</v>
      </c>
      <c r="I11" s="6" cm="1">
        <f t="array" ref="I11">td_ex_h($E11,$D11,$T$1,$T$2, 1,0)</f>
        <v>11.793391904730541</v>
      </c>
      <c r="K11">
        <v>0.26</v>
      </c>
      <c r="L11">
        <f t="shared" si="3"/>
        <v>23</v>
      </c>
      <c r="M11">
        <v>23</v>
      </c>
      <c r="N11">
        <v>50</v>
      </c>
      <c r="O11" s="6" cm="1">
        <f t="array" ref="O11">h2exh1($N11,$M11,L11,$T$1,$T$2,1)</f>
        <v>50</v>
      </c>
      <c r="P11" t="s">
        <v>25</v>
      </c>
      <c r="R11">
        <f t="shared" si="4"/>
        <v>680</v>
      </c>
      <c r="S11">
        <f t="shared" si="5"/>
        <v>11.333333333333334</v>
      </c>
      <c r="T11" s="6" cm="1">
        <f t="array" ref="T11">h2exh1($E11,$D11,$G11-$L$2,$T$1,$T$2,1)</f>
        <v>49.128781776293309</v>
      </c>
      <c r="AC11" s="2">
        <v>8</v>
      </c>
      <c r="AD11" s="2">
        <v>80</v>
      </c>
      <c r="AE11">
        <v>0</v>
      </c>
      <c r="AF11" s="2">
        <v>5</v>
      </c>
      <c r="AG11" s="2">
        <v>50</v>
      </c>
      <c r="AH11" s="2">
        <v>20</v>
      </c>
      <c r="AI11" s="2">
        <f t="shared" si="7"/>
        <v>5.3</v>
      </c>
      <c r="AJ11">
        <f t="shared" si="8"/>
        <v>770</v>
      </c>
      <c r="AK11" s="4">
        <f t="shared" si="9"/>
        <v>12.833333333333334</v>
      </c>
      <c r="AL11" s="3">
        <f t="shared" si="10"/>
        <v>0.53472222222222221</v>
      </c>
      <c r="AM11" s="5">
        <f t="shared" ca="1" si="6"/>
        <v>45012.343336805556</v>
      </c>
    </row>
    <row r="12" spans="1:39" x14ac:dyDescent="0.25">
      <c r="A12">
        <v>9</v>
      </c>
      <c r="B12">
        <f>B5</f>
        <v>120</v>
      </c>
      <c r="C12">
        <v>0</v>
      </c>
      <c r="D12">
        <f t="shared" si="0"/>
        <v>22.74</v>
      </c>
      <c r="E12" s="10">
        <f t="shared" si="1"/>
        <v>10</v>
      </c>
      <c r="F12">
        <v>10</v>
      </c>
      <c r="G12">
        <f t="shared" si="2"/>
        <v>23.33</v>
      </c>
      <c r="I12" s="6" cm="1">
        <f t="array" ref="I12">td_ex_h($E12,$D12,$T$1,$T$2, 1,0)</f>
        <v>-9.2910781667108484</v>
      </c>
      <c r="K12">
        <v>0.26</v>
      </c>
      <c r="L12">
        <f t="shared" si="3"/>
        <v>23</v>
      </c>
      <c r="M12">
        <v>23</v>
      </c>
      <c r="N12">
        <v>10</v>
      </c>
      <c r="O12" s="6" cm="1">
        <f t="array" ref="O12">h2exh1($N12,$M12,L12,$T$1,$T$2,1)</f>
        <v>10</v>
      </c>
      <c r="P12">
        <v>1</v>
      </c>
      <c r="R12">
        <f t="shared" si="4"/>
        <v>800</v>
      </c>
      <c r="S12">
        <f t="shared" si="5"/>
        <v>13.333333333333334</v>
      </c>
      <c r="T12" s="6" cm="1">
        <f t="array" ref="T12">h2exh1($E12,$D12,$G12-$L$2,$T$1,$T$2,1)</f>
        <v>9.8257563552586635</v>
      </c>
      <c r="V12" s="6" cm="1">
        <f t="array" ref="V12">vapourpress(D12,0)*ef(D12,101325,0)/10</f>
        <v>277.82211402322827</v>
      </c>
      <c r="W12" s="6" cm="1">
        <f t="array" ref="W12">td_exPv(V12*10,1013250,0)</f>
        <v>22.30884190359604</v>
      </c>
      <c r="AC12" s="2">
        <v>9</v>
      </c>
      <c r="AD12" s="2">
        <v>240</v>
      </c>
      <c r="AE12">
        <v>0</v>
      </c>
      <c r="AF12" s="2">
        <v>23</v>
      </c>
      <c r="AG12" s="2">
        <v>50</v>
      </c>
      <c r="AH12" s="2">
        <v>20</v>
      </c>
      <c r="AI12" s="2">
        <f t="shared" si="7"/>
        <v>23.3</v>
      </c>
      <c r="AJ12">
        <f t="shared" si="8"/>
        <v>1010</v>
      </c>
      <c r="AK12" s="4">
        <f t="shared" si="9"/>
        <v>16.833333333333332</v>
      </c>
      <c r="AL12" s="3">
        <f t="shared" si="10"/>
        <v>0.70138888888888884</v>
      </c>
      <c r="AM12" s="5">
        <f t="shared" ca="1" si="6"/>
        <v>45012.510003472227</v>
      </c>
    </row>
    <row r="13" spans="1:39" x14ac:dyDescent="0.25">
      <c r="A13">
        <v>10</v>
      </c>
      <c r="B13">
        <f t="shared" ref="B13:B25" si="11">B6</f>
        <v>80</v>
      </c>
      <c r="C13">
        <v>0</v>
      </c>
      <c r="D13">
        <f t="shared" si="0"/>
        <v>22.74</v>
      </c>
      <c r="E13" s="10">
        <f t="shared" si="1"/>
        <v>30</v>
      </c>
      <c r="F13">
        <v>10</v>
      </c>
      <c r="G13">
        <f t="shared" si="2"/>
        <v>23.33</v>
      </c>
      <c r="I13" s="6" cm="1">
        <f t="array" ref="I13">td_ex_h($E13,$D13,$T$1,$T$2, 1,0)</f>
        <v>4.2903190663171085</v>
      </c>
      <c r="K13">
        <v>0.26</v>
      </c>
      <c r="L13">
        <f t="shared" si="3"/>
        <v>23</v>
      </c>
      <c r="M13">
        <v>23</v>
      </c>
      <c r="N13">
        <v>30</v>
      </c>
      <c r="O13" s="6" cm="1">
        <f t="array" ref="O13">h2exh1($N13,$M13,L13,$T$1,$T$2,1)</f>
        <v>30</v>
      </c>
      <c r="P13">
        <v>2</v>
      </c>
      <c r="R13">
        <f t="shared" si="4"/>
        <v>880</v>
      </c>
      <c r="S13">
        <f t="shared" si="5"/>
        <v>14.666666666666666</v>
      </c>
      <c r="T13" s="6" cm="1">
        <f t="array" ref="T13">h2exh1($E13,$D13,$G13-$L$2,$T$1,$T$2,1)</f>
        <v>29.477269065775989</v>
      </c>
      <c r="AC13" s="2">
        <v>10</v>
      </c>
      <c r="AD13" s="2">
        <v>80</v>
      </c>
      <c r="AE13">
        <v>0</v>
      </c>
      <c r="AF13" s="2">
        <v>23</v>
      </c>
      <c r="AG13" s="2">
        <v>10</v>
      </c>
      <c r="AH13" s="2">
        <v>20</v>
      </c>
      <c r="AI13" s="2">
        <f t="shared" si="7"/>
        <v>23.3</v>
      </c>
      <c r="AJ13">
        <f t="shared" si="8"/>
        <v>1090</v>
      </c>
      <c r="AK13" s="4">
        <f t="shared" si="9"/>
        <v>18.166666666666668</v>
      </c>
      <c r="AL13" s="3">
        <f t="shared" si="10"/>
        <v>0.75694444444444453</v>
      </c>
      <c r="AM13" s="5">
        <f t="shared" ca="1" si="6"/>
        <v>45012.565559027782</v>
      </c>
    </row>
    <row r="14" spans="1:39" x14ac:dyDescent="0.25">
      <c r="A14">
        <v>11</v>
      </c>
      <c r="B14">
        <f t="shared" si="11"/>
        <v>80</v>
      </c>
      <c r="C14">
        <v>0</v>
      </c>
      <c r="D14">
        <f t="shared" si="0"/>
        <v>22.74</v>
      </c>
      <c r="E14" s="10">
        <f t="shared" si="1"/>
        <v>50</v>
      </c>
      <c r="F14">
        <v>10</v>
      </c>
      <c r="G14">
        <f t="shared" si="2"/>
        <v>23.33</v>
      </c>
      <c r="I14" s="6" cm="1">
        <f t="array" ref="I14">td_ex_h($E14,$D14,$T$1,$T$2, 1,0)</f>
        <v>11.793391904730541</v>
      </c>
      <c r="K14">
        <v>0.26</v>
      </c>
      <c r="L14">
        <f t="shared" si="3"/>
        <v>23</v>
      </c>
      <c r="M14">
        <v>23</v>
      </c>
      <c r="N14">
        <v>50</v>
      </c>
      <c r="O14" s="6" cm="1">
        <f t="array" ref="O14">h2exh1($N14,$M14,L14,$T$1,$T$2,1)</f>
        <v>50</v>
      </c>
      <c r="P14">
        <v>3</v>
      </c>
      <c r="R14">
        <f t="shared" si="4"/>
        <v>960</v>
      </c>
      <c r="S14">
        <f t="shared" si="5"/>
        <v>16</v>
      </c>
      <c r="T14" s="6" cm="1">
        <f t="array" ref="T14">h2exh1($E14,$D14,$G14-$L$2,$T$1,$T$2,1)</f>
        <v>49.128781776293309</v>
      </c>
      <c r="AC14" s="2">
        <v>11</v>
      </c>
      <c r="AD14" s="2">
        <v>80</v>
      </c>
      <c r="AE14">
        <v>0</v>
      </c>
      <c r="AF14" s="2">
        <v>23</v>
      </c>
      <c r="AG14" s="2">
        <v>30</v>
      </c>
      <c r="AH14" s="2">
        <v>20</v>
      </c>
      <c r="AI14" s="2">
        <f t="shared" si="7"/>
        <v>23.3</v>
      </c>
      <c r="AJ14">
        <f t="shared" si="8"/>
        <v>1170</v>
      </c>
      <c r="AK14" s="4">
        <f t="shared" si="9"/>
        <v>19.5</v>
      </c>
      <c r="AL14" s="3">
        <f t="shared" si="10"/>
        <v>0.8125</v>
      </c>
      <c r="AM14" s="5">
        <f t="shared" ca="1" si="6"/>
        <v>45012.621114583337</v>
      </c>
    </row>
    <row r="15" spans="1:39" x14ac:dyDescent="0.25">
      <c r="A15">
        <v>12</v>
      </c>
      <c r="B15">
        <f t="shared" si="11"/>
        <v>80</v>
      </c>
      <c r="C15">
        <v>0</v>
      </c>
      <c r="D15">
        <f t="shared" si="0"/>
        <v>22.74</v>
      </c>
      <c r="E15" s="10">
        <f t="shared" si="1"/>
        <v>70</v>
      </c>
      <c r="F15">
        <v>10</v>
      </c>
      <c r="G15">
        <f t="shared" si="2"/>
        <v>23.33</v>
      </c>
      <c r="I15" s="6" cm="1">
        <f t="array" ref="I15">td_ex_h($E15,$D15,$T$1,$T$2, 1,0)</f>
        <v>16.990984358301443</v>
      </c>
      <c r="K15">
        <v>0.26</v>
      </c>
      <c r="L15">
        <f t="shared" si="3"/>
        <v>23</v>
      </c>
      <c r="M15">
        <v>23</v>
      </c>
      <c r="N15">
        <v>70</v>
      </c>
      <c r="O15" s="6" cm="1">
        <f t="array" ref="O15">h2exh1($N15,$M15,L15,$T$1,$T$2,1)</f>
        <v>70</v>
      </c>
      <c r="P15">
        <v>4</v>
      </c>
      <c r="R15">
        <f t="shared" si="4"/>
        <v>1040</v>
      </c>
      <c r="S15">
        <f t="shared" si="5"/>
        <v>17.333333333333332</v>
      </c>
      <c r="T15" s="6" cm="1">
        <f t="array" ref="T15">h2exh1($E15,$D15,$G15-$L$2,$T$1,$T$2,1)</f>
        <v>68.780294486810647</v>
      </c>
      <c r="AC15" s="2">
        <v>12</v>
      </c>
      <c r="AD15" s="2">
        <v>80</v>
      </c>
      <c r="AE15">
        <v>0</v>
      </c>
      <c r="AF15" s="2">
        <v>23</v>
      </c>
      <c r="AG15" s="2">
        <v>50</v>
      </c>
      <c r="AH15" s="2">
        <v>20</v>
      </c>
      <c r="AI15" s="2">
        <f t="shared" si="7"/>
        <v>23.3</v>
      </c>
      <c r="AJ15">
        <f t="shared" si="8"/>
        <v>1250</v>
      </c>
      <c r="AK15" s="4">
        <f t="shared" si="9"/>
        <v>20.833333333333332</v>
      </c>
      <c r="AL15" s="3">
        <f t="shared" si="10"/>
        <v>0.86805555555555547</v>
      </c>
      <c r="AM15" s="5">
        <f t="shared" ca="1" si="6"/>
        <v>45012.676670138891</v>
      </c>
    </row>
    <row r="16" spans="1:39" x14ac:dyDescent="0.25">
      <c r="A16">
        <v>13</v>
      </c>
      <c r="B16">
        <f t="shared" si="11"/>
        <v>120</v>
      </c>
      <c r="C16">
        <v>0</v>
      </c>
      <c r="D16">
        <f t="shared" si="0"/>
        <v>22.74</v>
      </c>
      <c r="E16" s="10">
        <f t="shared" si="1"/>
        <v>94.999999999999986</v>
      </c>
      <c r="F16">
        <v>10</v>
      </c>
      <c r="G16">
        <f t="shared" si="2"/>
        <v>23.33</v>
      </c>
      <c r="I16" s="6" cm="1">
        <f t="array" ref="I16">td_ex_h($E16,$D16,$T$1,$T$2, 1,0)</f>
        <v>21.897422200203515</v>
      </c>
      <c r="K16">
        <v>0.26</v>
      </c>
      <c r="L16">
        <f t="shared" si="3"/>
        <v>23</v>
      </c>
      <c r="M16">
        <v>23</v>
      </c>
      <c r="N16">
        <v>95</v>
      </c>
      <c r="O16" s="6" cm="1">
        <f t="array" ref="O16">h2exh1($N16,$M16,L16,$T$1,$T$2,1)</f>
        <v>94.999999999999986</v>
      </c>
      <c r="P16">
        <v>5</v>
      </c>
      <c r="R16">
        <f t="shared" si="4"/>
        <v>1160</v>
      </c>
      <c r="S16">
        <f t="shared" si="5"/>
        <v>19.333333333333332</v>
      </c>
      <c r="T16" s="6" cm="1">
        <f t="array" ref="T16">h2exh1($E16,$D16,$G16-$L$2,$T$1,$T$2,1)</f>
        <v>93.34468537495728</v>
      </c>
      <c r="AC16" s="2">
        <v>13</v>
      </c>
      <c r="AD16" s="2">
        <v>80</v>
      </c>
      <c r="AE16">
        <v>0</v>
      </c>
      <c r="AF16" s="2">
        <v>23</v>
      </c>
      <c r="AG16" s="2">
        <v>70</v>
      </c>
      <c r="AH16" s="2">
        <v>20</v>
      </c>
      <c r="AI16" s="2">
        <f t="shared" si="7"/>
        <v>23.3</v>
      </c>
      <c r="AJ16">
        <f t="shared" si="8"/>
        <v>1330</v>
      </c>
      <c r="AK16" s="4">
        <f t="shared" si="9"/>
        <v>22.166666666666668</v>
      </c>
      <c r="AL16" s="3">
        <f t="shared" si="10"/>
        <v>0.92361111111111116</v>
      </c>
      <c r="AM16" s="5">
        <f t="shared" ca="1" si="6"/>
        <v>45012.732225694446</v>
      </c>
    </row>
    <row r="17" spans="1:39" x14ac:dyDescent="0.25">
      <c r="A17">
        <v>14</v>
      </c>
      <c r="B17">
        <f t="shared" si="11"/>
        <v>80</v>
      </c>
      <c r="C17">
        <v>0</v>
      </c>
      <c r="D17">
        <f t="shared" si="0"/>
        <v>22.74</v>
      </c>
      <c r="E17" s="10">
        <f t="shared" si="1"/>
        <v>50</v>
      </c>
      <c r="F17">
        <v>10</v>
      </c>
      <c r="G17">
        <f t="shared" si="2"/>
        <v>23.33</v>
      </c>
      <c r="I17" s="6" cm="1">
        <f t="array" ref="I17">td_ex_h($E17,$D17,$T$1,$T$2, 1,0)</f>
        <v>11.793391904730541</v>
      </c>
      <c r="K17">
        <v>0.26</v>
      </c>
      <c r="L17">
        <f t="shared" si="3"/>
        <v>23</v>
      </c>
      <c r="M17">
        <v>23</v>
      </c>
      <c r="N17">
        <v>50</v>
      </c>
      <c r="O17" s="6" cm="1">
        <f t="array" ref="O17">h2exh1($N17,$M17,L17,$T$1,$T$2,1)</f>
        <v>50</v>
      </c>
      <c r="P17">
        <v>6</v>
      </c>
      <c r="R17">
        <f t="shared" si="4"/>
        <v>1240</v>
      </c>
      <c r="S17">
        <f t="shared" si="5"/>
        <v>20.666666666666668</v>
      </c>
      <c r="T17" s="6" cm="1">
        <f t="array" ref="T17">h2exh1($E17,$D17,$G17-$L$2,$T$1,$T$2,1)</f>
        <v>49.128781776293309</v>
      </c>
      <c r="AC17" s="2">
        <v>14</v>
      </c>
      <c r="AD17" s="2">
        <v>80</v>
      </c>
      <c r="AE17">
        <v>0</v>
      </c>
      <c r="AF17" s="2">
        <v>23</v>
      </c>
      <c r="AG17" s="2">
        <v>95</v>
      </c>
      <c r="AH17" s="2">
        <v>20</v>
      </c>
      <c r="AI17" s="2">
        <f t="shared" si="7"/>
        <v>23.3</v>
      </c>
      <c r="AJ17">
        <f t="shared" si="8"/>
        <v>1410</v>
      </c>
      <c r="AK17" s="4">
        <f t="shared" si="9"/>
        <v>23.5</v>
      </c>
      <c r="AL17" s="3">
        <f t="shared" si="10"/>
        <v>0.97916666666666663</v>
      </c>
      <c r="AM17" s="5">
        <f t="shared" ca="1" si="6"/>
        <v>45012.787781250001</v>
      </c>
    </row>
    <row r="18" spans="1:39" x14ac:dyDescent="0.25">
      <c r="A18">
        <v>15</v>
      </c>
      <c r="B18">
        <f t="shared" si="11"/>
        <v>60</v>
      </c>
      <c r="C18">
        <v>0</v>
      </c>
      <c r="D18">
        <f t="shared" si="0"/>
        <v>49.74</v>
      </c>
      <c r="E18" s="10">
        <f t="shared" si="1"/>
        <v>30.000000000000004</v>
      </c>
      <c r="F18">
        <v>10</v>
      </c>
      <c r="G18">
        <f t="shared" si="2"/>
        <v>50.33</v>
      </c>
      <c r="I18" s="6" cm="1">
        <f t="array" ref="I18">td_ex_h($E18,$D18,$T$1,$T$2, 1,0)</f>
        <v>27.442921017248938</v>
      </c>
      <c r="K18">
        <v>0.26</v>
      </c>
      <c r="L18">
        <f t="shared" si="3"/>
        <v>50</v>
      </c>
      <c r="M18">
        <v>50</v>
      </c>
      <c r="N18">
        <v>30</v>
      </c>
      <c r="O18" s="6" cm="1">
        <f t="array" ref="O18">h2exh1($N18,$M18,L18,$T$1,$T$2,1)</f>
        <v>30.000000000000004</v>
      </c>
      <c r="P18" t="s">
        <v>25</v>
      </c>
      <c r="R18">
        <f t="shared" si="4"/>
        <v>1300</v>
      </c>
      <c r="S18">
        <f t="shared" si="5"/>
        <v>21.666666666666668</v>
      </c>
      <c r="T18" s="6" cm="1">
        <f t="array" ref="T18">h2exh1($E18,$D18,$G18-$L$2,$T$1,$T$2,1)</f>
        <v>29.57055195718743</v>
      </c>
      <c r="AC18" s="2">
        <v>15</v>
      </c>
      <c r="AD18" s="2">
        <v>80</v>
      </c>
      <c r="AE18">
        <v>0</v>
      </c>
      <c r="AF18" s="2">
        <v>23</v>
      </c>
      <c r="AG18" s="2">
        <v>50</v>
      </c>
      <c r="AH18" s="2">
        <v>20</v>
      </c>
      <c r="AI18" s="2">
        <f t="shared" si="7"/>
        <v>23.3</v>
      </c>
      <c r="AJ18">
        <f t="shared" si="8"/>
        <v>1490</v>
      </c>
      <c r="AK18" s="4">
        <f t="shared" si="9"/>
        <v>24.833333333333332</v>
      </c>
      <c r="AL18" s="3">
        <f t="shared" si="10"/>
        <v>1.0347222222222221</v>
      </c>
      <c r="AM18" s="5">
        <f t="shared" ca="1" si="6"/>
        <v>45012.843336805556</v>
      </c>
    </row>
    <row r="19" spans="1:39" x14ac:dyDescent="0.25">
      <c r="A19">
        <v>16</v>
      </c>
      <c r="B19">
        <f>B12</f>
        <v>120</v>
      </c>
      <c r="C19">
        <v>0</v>
      </c>
      <c r="D19">
        <f t="shared" si="0"/>
        <v>49.74</v>
      </c>
      <c r="E19" s="10">
        <f t="shared" si="1"/>
        <v>10</v>
      </c>
      <c r="F19">
        <v>10</v>
      </c>
      <c r="G19">
        <f t="shared" si="2"/>
        <v>50.33</v>
      </c>
      <c r="I19" s="6" cm="1">
        <f t="array" ref="I19">td_ex_h($E19,$D19,$T$1,$T$2, 1,0)</f>
        <v>9.9134988542270808</v>
      </c>
      <c r="K19">
        <v>0.26</v>
      </c>
      <c r="L19">
        <f t="shared" si="3"/>
        <v>50</v>
      </c>
      <c r="M19">
        <v>50</v>
      </c>
      <c r="N19">
        <v>10</v>
      </c>
      <c r="O19" s="6" cm="1">
        <f t="array" ref="O19">h2exh1($N19,$M19,L19,$T$1,$T$2,1)</f>
        <v>10</v>
      </c>
      <c r="P19">
        <v>1</v>
      </c>
      <c r="R19">
        <f t="shared" si="4"/>
        <v>1420</v>
      </c>
      <c r="S19">
        <f t="shared" si="5"/>
        <v>23.666666666666668</v>
      </c>
      <c r="T19" s="6" cm="1">
        <f t="array" ref="T19">h2exh1($E19,$D19,$G19-$L$2,$T$1,$T$2,1)</f>
        <v>9.8568506523958099</v>
      </c>
      <c r="AC19" s="2">
        <v>16</v>
      </c>
      <c r="AD19" s="2">
        <v>240</v>
      </c>
      <c r="AE19">
        <v>0</v>
      </c>
      <c r="AF19" s="2">
        <v>50</v>
      </c>
      <c r="AG19" s="2">
        <v>50</v>
      </c>
      <c r="AH19" s="2">
        <v>20</v>
      </c>
      <c r="AI19" s="2">
        <f t="shared" si="7"/>
        <v>50.3</v>
      </c>
      <c r="AJ19">
        <f t="shared" si="8"/>
        <v>1730</v>
      </c>
      <c r="AK19" s="4">
        <f t="shared" si="9"/>
        <v>28.833333333333332</v>
      </c>
      <c r="AL19" s="3">
        <f t="shared" si="10"/>
        <v>1.2013888888888888</v>
      </c>
      <c r="AM19" s="5">
        <f t="shared" ca="1" si="6"/>
        <v>45013.010003472227</v>
      </c>
    </row>
    <row r="20" spans="1:39" x14ac:dyDescent="0.25">
      <c r="A20">
        <v>17</v>
      </c>
      <c r="B20">
        <f t="shared" si="11"/>
        <v>80</v>
      </c>
      <c r="C20">
        <v>0</v>
      </c>
      <c r="D20">
        <f t="shared" si="0"/>
        <v>49.74</v>
      </c>
      <c r="E20" s="10">
        <f t="shared" si="1"/>
        <v>30.000000000000004</v>
      </c>
      <c r="F20">
        <v>10</v>
      </c>
      <c r="G20">
        <f t="shared" si="2"/>
        <v>50.33</v>
      </c>
      <c r="I20" s="6" cm="1">
        <f t="array" ref="I20">td_ex_h($E20,$D20,$T$1,$T$2, 1,0)</f>
        <v>27.442921017248938</v>
      </c>
      <c r="K20">
        <v>0.26</v>
      </c>
      <c r="L20">
        <f t="shared" si="3"/>
        <v>50</v>
      </c>
      <c r="M20">
        <v>50</v>
      </c>
      <c r="N20">
        <v>30</v>
      </c>
      <c r="O20" s="6" cm="1">
        <f t="array" ref="O20">h2exh1($N20,$M20,L20,$T$1,$T$2,1)</f>
        <v>30.000000000000004</v>
      </c>
      <c r="P20">
        <v>2</v>
      </c>
      <c r="R20">
        <f t="shared" si="4"/>
        <v>1500</v>
      </c>
      <c r="S20">
        <f t="shared" si="5"/>
        <v>25</v>
      </c>
      <c r="T20" s="6" cm="1">
        <f t="array" ref="T20">h2exh1($E20,$D20,$G20-$L$2,$T$1,$T$2,1)</f>
        <v>29.57055195718743</v>
      </c>
      <c r="AC20" s="2">
        <v>17</v>
      </c>
      <c r="AD20" s="2">
        <v>80</v>
      </c>
      <c r="AE20">
        <v>0</v>
      </c>
      <c r="AF20" s="2">
        <v>50</v>
      </c>
      <c r="AG20" s="2">
        <v>10</v>
      </c>
      <c r="AH20" s="2">
        <v>20</v>
      </c>
      <c r="AI20" s="2">
        <f t="shared" si="7"/>
        <v>50.3</v>
      </c>
      <c r="AJ20">
        <f t="shared" si="8"/>
        <v>1810</v>
      </c>
      <c r="AK20" s="4">
        <f t="shared" si="9"/>
        <v>30.166666666666668</v>
      </c>
      <c r="AL20" s="3">
        <f t="shared" si="10"/>
        <v>1.2569444444444444</v>
      </c>
      <c r="AM20" s="5">
        <f t="shared" ca="1" si="6"/>
        <v>45013.065559027782</v>
      </c>
    </row>
    <row r="21" spans="1:39" x14ac:dyDescent="0.25">
      <c r="A21">
        <v>18</v>
      </c>
      <c r="B21">
        <f t="shared" si="11"/>
        <v>80</v>
      </c>
      <c r="C21">
        <v>0</v>
      </c>
      <c r="D21">
        <f t="shared" si="0"/>
        <v>49.74</v>
      </c>
      <c r="E21" s="10">
        <f t="shared" si="1"/>
        <v>50</v>
      </c>
      <c r="F21">
        <v>10</v>
      </c>
      <c r="G21">
        <f t="shared" si="2"/>
        <v>50.33</v>
      </c>
      <c r="I21" s="6" cm="1">
        <f t="array" ref="I21">td_ex_h($E21,$D21,$T$1,$T$2, 1,0)</f>
        <v>36.463753657834637</v>
      </c>
      <c r="K21">
        <v>0.26</v>
      </c>
      <c r="L21">
        <f t="shared" si="3"/>
        <v>50</v>
      </c>
      <c r="M21">
        <v>50</v>
      </c>
      <c r="N21">
        <v>50</v>
      </c>
      <c r="O21" s="6" cm="1">
        <f t="array" ref="O21">h2exh1($N21,$M21,L21,$T$1,$T$2,1)</f>
        <v>50</v>
      </c>
      <c r="P21">
        <v>3</v>
      </c>
      <c r="R21">
        <f t="shared" si="4"/>
        <v>1580</v>
      </c>
      <c r="S21">
        <f t="shared" si="5"/>
        <v>26.333333333333332</v>
      </c>
      <c r="T21" s="6" cm="1">
        <f t="array" ref="T21">h2exh1($E21,$D21,$G21-$L$2,$T$1,$T$2,1)</f>
        <v>49.284253261979039</v>
      </c>
      <c r="AC21" s="2">
        <v>18</v>
      </c>
      <c r="AD21" s="2">
        <v>80</v>
      </c>
      <c r="AE21">
        <v>0</v>
      </c>
      <c r="AF21" s="2">
        <v>50</v>
      </c>
      <c r="AG21" s="2">
        <v>30</v>
      </c>
      <c r="AH21" s="2">
        <v>20</v>
      </c>
      <c r="AI21" s="2">
        <f t="shared" si="7"/>
        <v>50.3</v>
      </c>
      <c r="AJ21">
        <f t="shared" si="8"/>
        <v>1890</v>
      </c>
      <c r="AK21" s="4">
        <f t="shared" si="9"/>
        <v>31.5</v>
      </c>
      <c r="AL21" s="3">
        <f t="shared" si="10"/>
        <v>1.3125</v>
      </c>
      <c r="AM21" s="5">
        <f t="shared" ca="1" si="6"/>
        <v>45013.121114583337</v>
      </c>
    </row>
    <row r="22" spans="1:39" x14ac:dyDescent="0.25">
      <c r="A22">
        <v>19</v>
      </c>
      <c r="B22">
        <f t="shared" si="11"/>
        <v>80</v>
      </c>
      <c r="C22">
        <v>0</v>
      </c>
      <c r="D22">
        <f t="shared" si="0"/>
        <v>49.74</v>
      </c>
      <c r="E22" s="10">
        <f t="shared" si="1"/>
        <v>70</v>
      </c>
      <c r="F22">
        <v>10</v>
      </c>
      <c r="G22">
        <f t="shared" si="2"/>
        <v>50.33</v>
      </c>
      <c r="I22" s="6" cm="1">
        <f t="array" ref="I22">td_ex_h($E22,$D22,$T$1,$T$2, 1,0)</f>
        <v>42.750133551171324</v>
      </c>
      <c r="K22">
        <v>0.26</v>
      </c>
      <c r="L22">
        <f t="shared" si="3"/>
        <v>50</v>
      </c>
      <c r="M22">
        <v>50</v>
      </c>
      <c r="N22">
        <v>70</v>
      </c>
      <c r="O22" s="6" cm="1">
        <f t="array" ref="O22">h2exh1($N22,$M22,L22,$T$1,$T$2,1)</f>
        <v>70</v>
      </c>
      <c r="P22">
        <v>4</v>
      </c>
      <c r="R22">
        <f t="shared" si="4"/>
        <v>1660</v>
      </c>
      <c r="S22">
        <f t="shared" si="5"/>
        <v>27.666666666666668</v>
      </c>
      <c r="T22" s="6" cm="1">
        <f t="array" ref="T22">h2exh1($E22,$D22,$G22-$L$2,$T$1,$T$2,1)</f>
        <v>68.997954566770659</v>
      </c>
      <c r="AC22" s="2">
        <v>19</v>
      </c>
      <c r="AD22" s="2">
        <v>80</v>
      </c>
      <c r="AE22">
        <v>0</v>
      </c>
      <c r="AF22" s="2">
        <v>50</v>
      </c>
      <c r="AG22" s="2">
        <v>50</v>
      </c>
      <c r="AH22" s="2">
        <v>20</v>
      </c>
      <c r="AI22" s="2">
        <f t="shared" si="7"/>
        <v>50.3</v>
      </c>
      <c r="AJ22">
        <f t="shared" si="8"/>
        <v>1970</v>
      </c>
      <c r="AK22" s="4">
        <f t="shared" si="9"/>
        <v>32.833333333333336</v>
      </c>
      <c r="AL22" s="3">
        <f t="shared" si="10"/>
        <v>1.3680555555555556</v>
      </c>
      <c r="AM22" s="5">
        <f t="shared" ca="1" si="6"/>
        <v>45013.176670138891</v>
      </c>
    </row>
    <row r="23" spans="1:39" x14ac:dyDescent="0.25">
      <c r="A23">
        <v>20</v>
      </c>
      <c r="B23">
        <f t="shared" si="11"/>
        <v>120</v>
      </c>
      <c r="C23">
        <v>0</v>
      </c>
      <c r="D23">
        <f t="shared" si="0"/>
        <v>49.74</v>
      </c>
      <c r="E23" s="10">
        <f t="shared" si="1"/>
        <v>95</v>
      </c>
      <c r="F23">
        <v>10</v>
      </c>
      <c r="G23">
        <f t="shared" si="2"/>
        <v>50.33</v>
      </c>
      <c r="I23" s="6" cm="1">
        <f t="array" ref="I23">td_ex_h($E23,$D23,$T$1,$T$2, 1,0)</f>
        <v>48.713099153871866</v>
      </c>
      <c r="K23">
        <v>0.26</v>
      </c>
      <c r="L23">
        <f t="shared" si="3"/>
        <v>50</v>
      </c>
      <c r="M23">
        <v>50</v>
      </c>
      <c r="N23">
        <v>95</v>
      </c>
      <c r="O23" s="6" cm="1">
        <f t="array" ref="O23">h2exh1($N23,$M23,L23,$T$1,$T$2,1)</f>
        <v>95</v>
      </c>
      <c r="P23">
        <v>5</v>
      </c>
      <c r="R23">
        <f t="shared" si="4"/>
        <v>1780</v>
      </c>
      <c r="S23">
        <f t="shared" si="5"/>
        <v>29.666666666666668</v>
      </c>
      <c r="T23" s="6" cm="1">
        <f t="array" ref="T23">h2exh1($E23,$D23,$G23-$L$2,$T$1,$T$2,1)</f>
        <v>93.640081197760182</v>
      </c>
      <c r="AC23" s="2">
        <v>20</v>
      </c>
      <c r="AD23" s="2">
        <v>80</v>
      </c>
      <c r="AE23">
        <v>0</v>
      </c>
      <c r="AF23" s="2">
        <v>50</v>
      </c>
      <c r="AG23" s="2">
        <v>70</v>
      </c>
      <c r="AH23" s="2">
        <v>20</v>
      </c>
      <c r="AI23" s="2">
        <f t="shared" si="7"/>
        <v>50.3</v>
      </c>
      <c r="AJ23">
        <f t="shared" si="8"/>
        <v>2050</v>
      </c>
      <c r="AK23" s="4">
        <f t="shared" si="9"/>
        <v>34.166666666666664</v>
      </c>
      <c r="AL23" s="3">
        <f t="shared" si="10"/>
        <v>1.4236111111111109</v>
      </c>
      <c r="AM23" s="5">
        <f t="shared" ca="1" si="6"/>
        <v>45013.232225694446</v>
      </c>
    </row>
    <row r="24" spans="1:39" x14ac:dyDescent="0.25">
      <c r="A24">
        <v>21</v>
      </c>
      <c r="B24">
        <f t="shared" si="11"/>
        <v>80</v>
      </c>
      <c r="C24">
        <v>0</v>
      </c>
      <c r="D24">
        <f t="shared" si="0"/>
        <v>49.74</v>
      </c>
      <c r="E24" s="10">
        <f t="shared" si="1"/>
        <v>50</v>
      </c>
      <c r="F24">
        <v>10</v>
      </c>
      <c r="G24">
        <f t="shared" si="2"/>
        <v>50.33</v>
      </c>
      <c r="I24" s="6" cm="1">
        <f t="array" ref="I24">td_ex_h($E24,$D24,$T$1,$T$2, 1,0)</f>
        <v>36.463753657834637</v>
      </c>
      <c r="K24">
        <v>0.26</v>
      </c>
      <c r="L24">
        <f t="shared" si="3"/>
        <v>50</v>
      </c>
      <c r="M24">
        <v>50</v>
      </c>
      <c r="N24">
        <v>50</v>
      </c>
      <c r="O24" s="6" cm="1">
        <f t="array" ref="O24">h2exh1($N24,$M24,L24,$T$1,$T$2,1)</f>
        <v>50</v>
      </c>
      <c r="P24">
        <v>6</v>
      </c>
      <c r="R24">
        <f t="shared" si="4"/>
        <v>1860</v>
      </c>
      <c r="S24">
        <f t="shared" si="5"/>
        <v>31</v>
      </c>
      <c r="T24" s="6" cm="1">
        <f t="array" ref="T24">h2exh1($E24,$D24,$G24-$L$2,$T$1,$T$2,1)</f>
        <v>49.284253261979039</v>
      </c>
      <c r="AC24" s="2">
        <v>21</v>
      </c>
      <c r="AD24" s="2">
        <v>80</v>
      </c>
      <c r="AE24">
        <v>0</v>
      </c>
      <c r="AF24" s="2">
        <v>50</v>
      </c>
      <c r="AG24" s="2">
        <v>95</v>
      </c>
      <c r="AH24" s="2">
        <v>20</v>
      </c>
      <c r="AI24" s="2">
        <f t="shared" si="7"/>
        <v>50.3</v>
      </c>
      <c r="AJ24">
        <f t="shared" si="8"/>
        <v>2130</v>
      </c>
      <c r="AK24" s="4">
        <f t="shared" si="9"/>
        <v>35.5</v>
      </c>
      <c r="AL24" s="3">
        <f t="shared" si="10"/>
        <v>1.4791666666666667</v>
      </c>
      <c r="AM24" s="5">
        <f t="shared" ca="1" si="6"/>
        <v>45013.287781250001</v>
      </c>
    </row>
    <row r="25" spans="1:39" x14ac:dyDescent="0.25">
      <c r="A25">
        <v>22</v>
      </c>
      <c r="B25">
        <f t="shared" si="11"/>
        <v>60</v>
      </c>
      <c r="C25">
        <v>0</v>
      </c>
      <c r="D25">
        <f t="shared" si="0"/>
        <v>22.74</v>
      </c>
      <c r="E25" s="10">
        <f t="shared" si="1"/>
        <v>50</v>
      </c>
      <c r="F25">
        <v>10</v>
      </c>
      <c r="G25">
        <f t="shared" si="2"/>
        <v>23.33</v>
      </c>
      <c r="I25" s="6" cm="1">
        <f t="array" ref="I25">td_ex_h($E25,$D25,$T$1,$T$2, 1,0)</f>
        <v>11.793391904730541</v>
      </c>
      <c r="K25">
        <v>0.26</v>
      </c>
      <c r="L25">
        <f t="shared" ref="L25" si="12">D25+K25</f>
        <v>23</v>
      </c>
      <c r="M25">
        <v>23</v>
      </c>
      <c r="N25">
        <v>50</v>
      </c>
      <c r="O25" s="6" cm="1">
        <f t="array" ref="O25">h2exh1($N25,$M25,L25,$T$1,$T$2,1)</f>
        <v>50</v>
      </c>
      <c r="R25">
        <f t="shared" si="4"/>
        <v>1920</v>
      </c>
      <c r="S25">
        <f t="shared" si="5"/>
        <v>32</v>
      </c>
      <c r="T25" s="6" cm="1">
        <f t="array" ref="T25">h2exh1($E25,$D25,$G25-$L$2,$T$1,$T$2,1)</f>
        <v>49.128781776293309</v>
      </c>
      <c r="AC25" s="2">
        <v>22</v>
      </c>
      <c r="AD25" s="2">
        <v>80</v>
      </c>
      <c r="AE25">
        <v>0</v>
      </c>
      <c r="AF25" s="2">
        <v>50</v>
      </c>
      <c r="AG25" s="2">
        <v>50</v>
      </c>
      <c r="AH25" s="2">
        <v>20</v>
      </c>
      <c r="AI25" s="2">
        <f t="shared" si="7"/>
        <v>50.3</v>
      </c>
      <c r="AJ25">
        <f t="shared" si="8"/>
        <v>2210</v>
      </c>
      <c r="AK25" s="4">
        <f t="shared" si="9"/>
        <v>36.833333333333336</v>
      </c>
      <c r="AL25" s="3">
        <f t="shared" si="10"/>
        <v>1.5347222222222223</v>
      </c>
      <c r="AM25" s="5">
        <f t="shared" ca="1" si="6"/>
        <v>45013.343336805556</v>
      </c>
    </row>
    <row r="26" spans="1:39" x14ac:dyDescent="0.25">
      <c r="O26" s="6"/>
      <c r="T26" s="6" cm="1">
        <f t="array" ref="T26">h2exh1($E26,$D26,$G26-$L$2,$T$1,$T$2,1)</f>
        <v>0</v>
      </c>
      <c r="AC26" s="2">
        <v>23</v>
      </c>
      <c r="AD26" s="2">
        <v>240</v>
      </c>
      <c r="AE26">
        <v>0</v>
      </c>
      <c r="AF26" s="2">
        <v>23</v>
      </c>
      <c r="AG26" s="2">
        <v>50</v>
      </c>
      <c r="AH26" s="2">
        <v>20</v>
      </c>
      <c r="AI26" s="2">
        <f t="shared" si="7"/>
        <v>23.3</v>
      </c>
      <c r="AJ26">
        <f t="shared" si="8"/>
        <v>2450</v>
      </c>
      <c r="AK26" s="4">
        <f t="shared" si="9"/>
        <v>40.833333333333336</v>
      </c>
      <c r="AL26" s="3">
        <f t="shared" si="10"/>
        <v>1.7013888888888891</v>
      </c>
      <c r="AM26" s="5">
        <f t="shared" ca="1" si="6"/>
        <v>45013.510003472227</v>
      </c>
    </row>
    <row r="27" spans="1:39" x14ac:dyDescent="0.25">
      <c r="O27" s="6"/>
      <c r="T27" s="6" cm="1">
        <f t="array" ref="T27">h2exh1($E27,$D27,$G27-$L$2,$T$1,$T$2,1)</f>
        <v>0</v>
      </c>
      <c r="AC27" s="2">
        <v>24</v>
      </c>
      <c r="AD27" s="2">
        <v>240</v>
      </c>
      <c r="AE27">
        <v>0</v>
      </c>
      <c r="AF27" s="2">
        <v>5</v>
      </c>
      <c r="AG27" s="2">
        <v>50</v>
      </c>
      <c r="AH27" s="2">
        <v>20</v>
      </c>
      <c r="AI27" s="2">
        <f t="shared" si="7"/>
        <v>5.3</v>
      </c>
      <c r="AJ27">
        <f t="shared" si="8"/>
        <v>2690</v>
      </c>
      <c r="AK27" s="4">
        <f t="shared" si="9"/>
        <v>44.833333333333336</v>
      </c>
      <c r="AL27" s="3">
        <f t="shared" si="10"/>
        <v>1.8680555555555556</v>
      </c>
      <c r="AM27" s="5">
        <f t="shared" ca="1" si="6"/>
        <v>45013.676670138891</v>
      </c>
    </row>
    <row r="28" spans="1:39" x14ac:dyDescent="0.25">
      <c r="O28" s="6"/>
      <c r="T28" s="6" cm="1">
        <f t="array" ref="T28">h2exh1($E28,$D28,$G28-$L$2,$T$1,$T$2,1)</f>
        <v>0</v>
      </c>
      <c r="AC28" s="2">
        <v>25</v>
      </c>
      <c r="AD28" s="2">
        <v>80</v>
      </c>
      <c r="AE28">
        <v>0</v>
      </c>
      <c r="AF28" s="2">
        <v>5</v>
      </c>
      <c r="AG28" s="2">
        <v>10</v>
      </c>
      <c r="AH28" s="2">
        <v>20</v>
      </c>
      <c r="AI28" s="2">
        <f t="shared" si="7"/>
        <v>5.3</v>
      </c>
      <c r="AJ28">
        <f t="shared" si="8"/>
        <v>2770</v>
      </c>
      <c r="AK28" s="4">
        <f t="shared" si="9"/>
        <v>46.166666666666664</v>
      </c>
      <c r="AL28" s="3">
        <f t="shared" si="10"/>
        <v>1.9236111111111109</v>
      </c>
      <c r="AM28" s="5">
        <f t="shared" ca="1" si="6"/>
        <v>45013.732225694446</v>
      </c>
    </row>
    <row r="29" spans="1:39" x14ac:dyDescent="0.25">
      <c r="T29" s="6" cm="1">
        <f t="array" ref="T29">h2exh1($E29,$D29,$G29-$L$2,$T$1,$T$2,1)</f>
        <v>0</v>
      </c>
      <c r="AC29" s="2">
        <v>26</v>
      </c>
      <c r="AD29" s="2">
        <v>80</v>
      </c>
      <c r="AE29">
        <v>0</v>
      </c>
      <c r="AF29" s="2">
        <v>5</v>
      </c>
      <c r="AG29" s="2">
        <v>30</v>
      </c>
      <c r="AH29" s="2">
        <v>20</v>
      </c>
      <c r="AI29" s="2">
        <f t="shared" si="7"/>
        <v>5.3</v>
      </c>
      <c r="AJ29">
        <f t="shared" si="8"/>
        <v>2850</v>
      </c>
      <c r="AK29" s="4">
        <f t="shared" si="9"/>
        <v>47.5</v>
      </c>
      <c r="AL29" s="3">
        <f t="shared" si="10"/>
        <v>1.9791666666666667</v>
      </c>
      <c r="AM29" s="5">
        <f t="shared" ca="1" si="6"/>
        <v>45013.787781250001</v>
      </c>
    </row>
    <row r="30" spans="1:39" x14ac:dyDescent="0.25">
      <c r="T30" s="6" cm="1">
        <f t="array" ref="T30">h2exh1($E30,$D30,$G30-$L$2,$T$1,$T$2,1)</f>
        <v>0</v>
      </c>
      <c r="AC30" s="2">
        <v>27</v>
      </c>
      <c r="AD30" s="2">
        <v>80</v>
      </c>
      <c r="AE30">
        <v>0</v>
      </c>
      <c r="AF30" s="2">
        <v>5</v>
      </c>
      <c r="AG30" s="2">
        <v>50</v>
      </c>
      <c r="AH30" s="2">
        <v>20</v>
      </c>
      <c r="AI30" s="2">
        <f t="shared" si="7"/>
        <v>5.3</v>
      </c>
      <c r="AJ30">
        <f t="shared" si="8"/>
        <v>2930</v>
      </c>
      <c r="AK30" s="4">
        <f t="shared" si="9"/>
        <v>48.833333333333336</v>
      </c>
      <c r="AL30" s="3">
        <f t="shared" si="10"/>
        <v>2.0347222222222223</v>
      </c>
      <c r="AM30" s="5">
        <f t="shared" ca="1" si="6"/>
        <v>45013.843336805556</v>
      </c>
    </row>
    <row r="31" spans="1:39" x14ac:dyDescent="0.25">
      <c r="T31" s="6" cm="1">
        <f t="array" ref="T31">h2exh1($E31,$D31,$G31-$L$2,$T$1,$T$2,1)</f>
        <v>0</v>
      </c>
      <c r="AC31" s="2">
        <v>28</v>
      </c>
      <c r="AD31" s="2">
        <v>80</v>
      </c>
      <c r="AE31">
        <v>0</v>
      </c>
      <c r="AF31" s="2">
        <v>5</v>
      </c>
      <c r="AG31" s="2">
        <v>70</v>
      </c>
      <c r="AH31" s="2">
        <v>20</v>
      </c>
      <c r="AI31" s="2">
        <f t="shared" si="7"/>
        <v>5.3</v>
      </c>
      <c r="AJ31">
        <f t="shared" si="8"/>
        <v>3010</v>
      </c>
      <c r="AK31" s="4">
        <f t="shared" si="9"/>
        <v>50.166666666666664</v>
      </c>
      <c r="AL31" s="3">
        <f t="shared" si="10"/>
        <v>2.0902777777777777</v>
      </c>
      <c r="AM31" s="5">
        <f t="shared" ca="1" si="6"/>
        <v>45013.898892361118</v>
      </c>
    </row>
    <row r="32" spans="1:39" x14ac:dyDescent="0.25">
      <c r="T32" s="6" cm="1">
        <f t="array" ref="T32">h2exh1($E32,$D32,$G32-$L$2,$T$1,$T$2,1)</f>
        <v>0</v>
      </c>
      <c r="AC32" s="2">
        <v>29</v>
      </c>
      <c r="AD32" s="2">
        <v>80</v>
      </c>
      <c r="AE32">
        <v>0</v>
      </c>
      <c r="AF32" s="2">
        <v>5</v>
      </c>
      <c r="AG32" s="2">
        <v>95</v>
      </c>
      <c r="AH32" s="2">
        <v>20</v>
      </c>
      <c r="AI32" s="2">
        <f t="shared" si="7"/>
        <v>5.3</v>
      </c>
      <c r="AJ32">
        <f t="shared" si="8"/>
        <v>3090</v>
      </c>
      <c r="AK32" s="4">
        <f t="shared" si="9"/>
        <v>51.5</v>
      </c>
      <c r="AL32" s="3">
        <f t="shared" si="10"/>
        <v>2.1458333333333335</v>
      </c>
      <c r="AM32" s="5">
        <f t="shared" ca="1" si="6"/>
        <v>45013.954447916673</v>
      </c>
    </row>
    <row r="33" spans="20:39" x14ac:dyDescent="0.25">
      <c r="T33" s="6" cm="1">
        <f t="array" ref="T33">h2exh1($E33,$D33,$G33-$L$2,$T$1,$T$2,1)</f>
        <v>0</v>
      </c>
      <c r="AC33" s="2">
        <v>30</v>
      </c>
      <c r="AD33" s="2">
        <v>80</v>
      </c>
      <c r="AE33">
        <v>0</v>
      </c>
      <c r="AF33" s="2">
        <v>5</v>
      </c>
      <c r="AG33" s="2">
        <v>50</v>
      </c>
      <c r="AH33" s="2">
        <v>20</v>
      </c>
      <c r="AI33" s="2">
        <f t="shared" si="7"/>
        <v>5.3</v>
      </c>
      <c r="AJ33">
        <f t="shared" si="8"/>
        <v>3170</v>
      </c>
      <c r="AK33" s="4">
        <f t="shared" si="9"/>
        <v>52.833333333333336</v>
      </c>
      <c r="AL33" s="3">
        <f t="shared" si="10"/>
        <v>2.2013888888888888</v>
      </c>
      <c r="AM33" s="5">
        <f t="shared" ca="1" si="6"/>
        <v>45014.010003472227</v>
      </c>
    </row>
    <row r="34" spans="20:39" x14ac:dyDescent="0.25">
      <c r="T34" s="6" cm="1">
        <f t="array" ref="T34">h2exh1($E34,$D34,$G34-$L$2,$T$1,$T$2,1)</f>
        <v>0</v>
      </c>
      <c r="AC34" s="2">
        <v>31</v>
      </c>
      <c r="AD34" s="2">
        <v>300</v>
      </c>
      <c r="AE34">
        <v>0</v>
      </c>
      <c r="AF34" s="2">
        <v>23</v>
      </c>
      <c r="AG34" s="2">
        <v>50</v>
      </c>
      <c r="AH34" s="2">
        <v>20</v>
      </c>
      <c r="AI34" s="2">
        <f t="shared" si="7"/>
        <v>23.3</v>
      </c>
      <c r="AJ34">
        <f t="shared" si="8"/>
        <v>3470</v>
      </c>
      <c r="AK34" s="4">
        <f t="shared" si="9"/>
        <v>57.833333333333336</v>
      </c>
      <c r="AL34" s="3">
        <f t="shared" si="10"/>
        <v>2.4097222222222223</v>
      </c>
      <c r="AM34" s="5">
        <f t="shared" ca="1" si="6"/>
        <v>45014.218336805556</v>
      </c>
    </row>
    <row r="35" spans="20:39" x14ac:dyDescent="0.25">
      <c r="T35" s="6" cm="1">
        <f t="array" ref="T35">h2exh1($E35,$D35,$G35-$L$2,$T$1,$T$2,1)</f>
        <v>0</v>
      </c>
      <c r="AC35" s="2">
        <v>32</v>
      </c>
      <c r="AD35" s="2">
        <v>80</v>
      </c>
      <c r="AE35">
        <v>0</v>
      </c>
      <c r="AF35" s="2">
        <v>23</v>
      </c>
      <c r="AG35" s="2">
        <v>10</v>
      </c>
      <c r="AH35" s="2">
        <v>20</v>
      </c>
      <c r="AI35" s="2">
        <f t="shared" si="7"/>
        <v>23.3</v>
      </c>
      <c r="AJ35">
        <f t="shared" si="8"/>
        <v>3550</v>
      </c>
      <c r="AK35" s="4">
        <f t="shared" si="9"/>
        <v>59.166666666666664</v>
      </c>
      <c r="AL35" s="3">
        <f t="shared" si="10"/>
        <v>2.4652777777777777</v>
      </c>
      <c r="AM35" s="5">
        <f t="shared" ca="1" si="6"/>
        <v>45014.273892361118</v>
      </c>
    </row>
    <row r="36" spans="20:39" x14ac:dyDescent="0.25">
      <c r="T36" s="6" cm="1">
        <f t="array" ref="T36">h2exh1($E36,$D36,$G36-$L$2,$T$1,$T$2,1)</f>
        <v>0</v>
      </c>
      <c r="AC36" s="2">
        <v>33</v>
      </c>
      <c r="AD36" s="2">
        <v>80</v>
      </c>
      <c r="AE36">
        <v>0</v>
      </c>
      <c r="AF36" s="2">
        <v>23</v>
      </c>
      <c r="AG36" s="2">
        <v>30</v>
      </c>
      <c r="AH36" s="2">
        <v>20</v>
      </c>
      <c r="AI36" s="2">
        <f t="shared" si="7"/>
        <v>23.3</v>
      </c>
      <c r="AJ36">
        <f t="shared" si="8"/>
        <v>3630</v>
      </c>
      <c r="AK36" s="4">
        <f t="shared" si="9"/>
        <v>60.5</v>
      </c>
      <c r="AL36" s="3">
        <f t="shared" si="10"/>
        <v>2.5208333333333335</v>
      </c>
      <c r="AM36" s="5">
        <f t="shared" ca="1" si="6"/>
        <v>45014.329447916673</v>
      </c>
    </row>
    <row r="37" spans="20:39" x14ac:dyDescent="0.25">
      <c r="T37" s="6" cm="1">
        <f t="array" ref="T37">h2exh1($E37,$D37,$G37-$L$2,$T$1,$T$2,1)</f>
        <v>0</v>
      </c>
      <c r="AC37" s="2">
        <v>34</v>
      </c>
      <c r="AD37" s="2">
        <v>80</v>
      </c>
      <c r="AE37">
        <v>0</v>
      </c>
      <c r="AF37" s="2">
        <v>23</v>
      </c>
      <c r="AG37" s="2">
        <v>50</v>
      </c>
      <c r="AH37" s="2">
        <v>20</v>
      </c>
      <c r="AI37" s="2">
        <f t="shared" si="7"/>
        <v>23.3</v>
      </c>
      <c r="AJ37">
        <f t="shared" si="8"/>
        <v>3710</v>
      </c>
      <c r="AK37" s="4">
        <f t="shared" si="9"/>
        <v>61.833333333333336</v>
      </c>
      <c r="AL37" s="3">
        <f t="shared" si="10"/>
        <v>2.5763888888888888</v>
      </c>
      <c r="AM37" s="5">
        <f t="shared" ca="1" si="6"/>
        <v>45014.385003472227</v>
      </c>
    </row>
    <row r="38" spans="20:39" x14ac:dyDescent="0.25">
      <c r="T38" s="6" cm="1">
        <f t="array" ref="T38">h2exh1($E38,$D38,$G38-$L$2,$T$1,$T$2,1)</f>
        <v>0</v>
      </c>
      <c r="AC38" s="2">
        <v>35</v>
      </c>
      <c r="AD38" s="2">
        <v>80</v>
      </c>
      <c r="AE38">
        <v>0</v>
      </c>
      <c r="AF38" s="2">
        <v>23</v>
      </c>
      <c r="AG38" s="2">
        <v>70</v>
      </c>
      <c r="AH38" s="2">
        <v>20</v>
      </c>
      <c r="AI38" s="2">
        <f t="shared" si="7"/>
        <v>23.3</v>
      </c>
      <c r="AJ38">
        <f t="shared" si="8"/>
        <v>3790</v>
      </c>
      <c r="AK38" s="4">
        <f t="shared" si="9"/>
        <v>63.166666666666664</v>
      </c>
      <c r="AL38" s="3">
        <f t="shared" si="10"/>
        <v>2.6319444444444442</v>
      </c>
      <c r="AM38" s="5">
        <f t="shared" ca="1" si="6"/>
        <v>45014.440559027782</v>
      </c>
    </row>
    <row r="39" spans="20:39" x14ac:dyDescent="0.25">
      <c r="T39" s="6" cm="1">
        <f t="array" ref="T39">h2exh1($E39,$D39,$G39-$L$2,$T$1,$T$2,1)</f>
        <v>0</v>
      </c>
      <c r="AC39" s="2">
        <v>36</v>
      </c>
      <c r="AD39" s="2">
        <v>80</v>
      </c>
      <c r="AE39">
        <v>0</v>
      </c>
      <c r="AF39" s="2">
        <v>23</v>
      </c>
      <c r="AG39" s="2">
        <v>95</v>
      </c>
      <c r="AH39" s="2">
        <v>20</v>
      </c>
      <c r="AI39" s="2">
        <f t="shared" si="7"/>
        <v>23.3</v>
      </c>
      <c r="AJ39">
        <f t="shared" si="8"/>
        <v>3870</v>
      </c>
      <c r="AK39" s="4">
        <f t="shared" si="9"/>
        <v>64.5</v>
      </c>
      <c r="AL39" s="3">
        <f t="shared" si="10"/>
        <v>2.6875</v>
      </c>
      <c r="AM39" s="5">
        <f t="shared" ca="1" si="6"/>
        <v>45014.496114583337</v>
      </c>
    </row>
    <row r="40" spans="20:39" x14ac:dyDescent="0.25">
      <c r="T40" s="6" cm="1">
        <f t="array" ref="T40">h2exh1($E40,$D40,$G40-$L$2,$T$1,$T$2,1)</f>
        <v>0</v>
      </c>
      <c r="AC40" s="2">
        <v>37</v>
      </c>
      <c r="AD40" s="2">
        <v>80</v>
      </c>
      <c r="AE40">
        <v>0</v>
      </c>
      <c r="AF40" s="2">
        <v>23</v>
      </c>
      <c r="AG40" s="2">
        <v>50</v>
      </c>
      <c r="AH40" s="2">
        <v>20</v>
      </c>
      <c r="AI40" s="2">
        <f t="shared" si="7"/>
        <v>23.3</v>
      </c>
      <c r="AJ40">
        <f t="shared" si="8"/>
        <v>3950</v>
      </c>
      <c r="AK40" s="4">
        <f t="shared" si="9"/>
        <v>65.833333333333329</v>
      </c>
      <c r="AL40" s="3">
        <f t="shared" si="10"/>
        <v>2.7430555555555554</v>
      </c>
      <c r="AM40" s="5">
        <f t="shared" ca="1" si="6"/>
        <v>45014.551670138891</v>
      </c>
    </row>
    <row r="41" spans="20:39" x14ac:dyDescent="0.25">
      <c r="T41" s="6" cm="1">
        <f t="array" ref="T41">h2exh1($E41,$D41,$G41-$L$2,$T$1,$T$2,1)</f>
        <v>0</v>
      </c>
      <c r="AC41" s="2">
        <v>38</v>
      </c>
      <c r="AD41" s="2">
        <v>300</v>
      </c>
      <c r="AE41">
        <v>0</v>
      </c>
      <c r="AF41" s="2">
        <v>50</v>
      </c>
      <c r="AG41" s="2">
        <v>50</v>
      </c>
      <c r="AH41" s="2">
        <v>20</v>
      </c>
      <c r="AI41" s="2">
        <f t="shared" si="7"/>
        <v>50.3</v>
      </c>
      <c r="AJ41">
        <f t="shared" si="8"/>
        <v>4250</v>
      </c>
      <c r="AK41" s="4">
        <f t="shared" si="9"/>
        <v>70.833333333333329</v>
      </c>
      <c r="AL41" s="3">
        <f t="shared" si="10"/>
        <v>2.9513888888888888</v>
      </c>
      <c r="AM41" s="5">
        <f t="shared" ca="1" si="6"/>
        <v>45014.760003472227</v>
      </c>
    </row>
    <row r="42" spans="20:39" x14ac:dyDescent="0.25">
      <c r="T42" s="6" cm="1">
        <f t="array" ref="T42">h2exh1($E42,$D42,$G42-$L$2,$T$1,$T$2,1)</f>
        <v>0</v>
      </c>
      <c r="AC42" s="2">
        <v>39</v>
      </c>
      <c r="AD42" s="2">
        <v>80</v>
      </c>
      <c r="AE42">
        <v>0</v>
      </c>
      <c r="AF42" s="2">
        <v>50</v>
      </c>
      <c r="AG42" s="2">
        <v>10</v>
      </c>
      <c r="AH42" s="2">
        <v>20</v>
      </c>
      <c r="AI42" s="2">
        <f t="shared" si="7"/>
        <v>50.3</v>
      </c>
      <c r="AJ42">
        <f t="shared" si="8"/>
        <v>4330</v>
      </c>
      <c r="AK42" s="4">
        <f t="shared" si="9"/>
        <v>72.166666666666671</v>
      </c>
      <c r="AL42" s="3">
        <f t="shared" si="10"/>
        <v>3.0069444444444446</v>
      </c>
      <c r="AM42" s="5">
        <f t="shared" ca="1" si="6"/>
        <v>45014.815559027782</v>
      </c>
    </row>
    <row r="43" spans="20:39" x14ac:dyDescent="0.25">
      <c r="T43" s="6" cm="1">
        <f t="array" ref="T43">h2exh1($E43,$D43,$G43-$L$2,$T$1,$T$2,1)</f>
        <v>0</v>
      </c>
      <c r="AC43" s="2">
        <v>40</v>
      </c>
      <c r="AD43" s="2">
        <v>80</v>
      </c>
      <c r="AE43">
        <v>0</v>
      </c>
      <c r="AF43" s="2">
        <v>50</v>
      </c>
      <c r="AG43" s="2">
        <v>30</v>
      </c>
      <c r="AH43" s="2">
        <v>20</v>
      </c>
      <c r="AI43" s="2">
        <f t="shared" si="7"/>
        <v>50.3</v>
      </c>
      <c r="AJ43">
        <f t="shared" si="8"/>
        <v>4410</v>
      </c>
      <c r="AK43" s="4">
        <f t="shared" si="9"/>
        <v>73.5</v>
      </c>
      <c r="AL43" s="3">
        <f t="shared" si="10"/>
        <v>3.0625</v>
      </c>
      <c r="AM43" s="5">
        <f t="shared" ca="1" si="6"/>
        <v>45014.871114583337</v>
      </c>
    </row>
    <row r="44" spans="20:39" x14ac:dyDescent="0.25">
      <c r="T44" s="6" cm="1">
        <f t="array" ref="T44">h2exh1($E44,$D44,$G44-$L$2,$T$1,$T$2,1)</f>
        <v>0</v>
      </c>
      <c r="AC44" s="2">
        <v>41</v>
      </c>
      <c r="AD44" s="2">
        <v>80</v>
      </c>
      <c r="AE44">
        <v>0</v>
      </c>
      <c r="AF44" s="2">
        <v>50</v>
      </c>
      <c r="AG44" s="2">
        <v>50</v>
      </c>
      <c r="AH44" s="2">
        <v>20</v>
      </c>
      <c r="AI44" s="2">
        <f t="shared" si="7"/>
        <v>50.3</v>
      </c>
      <c r="AJ44">
        <f t="shared" si="8"/>
        <v>4490</v>
      </c>
      <c r="AK44" s="4">
        <f t="shared" si="9"/>
        <v>74.833333333333329</v>
      </c>
      <c r="AL44" s="3">
        <f t="shared" si="10"/>
        <v>3.1180555555555554</v>
      </c>
      <c r="AM44" s="5">
        <f t="shared" ca="1" si="6"/>
        <v>45014.926670138891</v>
      </c>
    </row>
    <row r="45" spans="20:39" x14ac:dyDescent="0.25">
      <c r="T45" s="6" cm="1">
        <f t="array" ref="T45">h2exh1($E45,$D45,$G45-$L$2,$T$1,$T$2,1)</f>
        <v>0</v>
      </c>
      <c r="AC45" s="2">
        <v>42</v>
      </c>
      <c r="AD45" s="2">
        <v>80</v>
      </c>
      <c r="AE45">
        <v>0</v>
      </c>
      <c r="AF45" s="2">
        <v>50</v>
      </c>
      <c r="AG45" s="2">
        <v>70</v>
      </c>
      <c r="AH45" s="2">
        <v>20</v>
      </c>
      <c r="AI45" s="2">
        <f t="shared" si="7"/>
        <v>50.3</v>
      </c>
      <c r="AJ45">
        <f t="shared" si="8"/>
        <v>4570</v>
      </c>
      <c r="AK45" s="4">
        <f t="shared" si="9"/>
        <v>76.166666666666671</v>
      </c>
      <c r="AL45" s="3">
        <f t="shared" si="10"/>
        <v>3.1736111111111112</v>
      </c>
      <c r="AM45" s="5">
        <f t="shared" ca="1" si="6"/>
        <v>45014.982225694446</v>
      </c>
    </row>
    <row r="46" spans="20:39" x14ac:dyDescent="0.25">
      <c r="T46" s="6" cm="1">
        <f t="array" ref="T46">h2exh1($E46,$D46,$G46-$L$2,$T$1,$T$2,1)</f>
        <v>0</v>
      </c>
      <c r="AC46" s="2">
        <v>43</v>
      </c>
      <c r="AD46" s="2">
        <v>80</v>
      </c>
      <c r="AE46">
        <v>0</v>
      </c>
      <c r="AF46" s="2">
        <v>50</v>
      </c>
      <c r="AG46" s="2">
        <v>95</v>
      </c>
      <c r="AH46" s="2">
        <v>20</v>
      </c>
      <c r="AI46" s="2">
        <f t="shared" si="7"/>
        <v>50.3</v>
      </c>
      <c r="AJ46">
        <f t="shared" si="8"/>
        <v>4650</v>
      </c>
      <c r="AK46" s="4">
        <f t="shared" si="9"/>
        <v>77.5</v>
      </c>
      <c r="AL46" s="3">
        <f t="shared" si="10"/>
        <v>3.2291666666666665</v>
      </c>
      <c r="AM46" s="5">
        <f t="shared" ca="1" si="6"/>
        <v>45015.037781250001</v>
      </c>
    </row>
    <row r="47" spans="20:39" x14ac:dyDescent="0.25">
      <c r="T47" s="6" cm="1">
        <f t="array" ref="T47">h2exh1($E47,$D47,$G47-$L$2,$T$1,$T$2,1)</f>
        <v>0</v>
      </c>
      <c r="AC47" s="2">
        <v>44</v>
      </c>
      <c r="AD47" s="2">
        <v>80</v>
      </c>
      <c r="AE47">
        <v>0</v>
      </c>
      <c r="AF47" s="2">
        <v>50</v>
      </c>
      <c r="AG47" s="2">
        <v>50</v>
      </c>
      <c r="AH47" s="2">
        <v>20</v>
      </c>
      <c r="AI47" s="2">
        <f t="shared" si="7"/>
        <v>50.3</v>
      </c>
      <c r="AJ47">
        <f t="shared" si="8"/>
        <v>4730</v>
      </c>
      <c r="AK47" s="4">
        <f t="shared" si="9"/>
        <v>78.833333333333329</v>
      </c>
      <c r="AL47" s="3">
        <f t="shared" si="10"/>
        <v>3.2847222222222219</v>
      </c>
      <c r="AM47" s="5">
        <f t="shared" ca="1" si="6"/>
        <v>45015.093336805556</v>
      </c>
    </row>
    <row r="48" spans="20:39" x14ac:dyDescent="0.25">
      <c r="T48" s="6" cm="1">
        <f t="array" ref="T48">h2exh1($E48,$D48,$G48-$L$2,$T$1,$T$2,1)</f>
        <v>0</v>
      </c>
      <c r="AC48" s="2">
        <v>45</v>
      </c>
      <c r="AD48" s="2">
        <v>300</v>
      </c>
      <c r="AE48">
        <v>0</v>
      </c>
      <c r="AF48" s="2">
        <v>23</v>
      </c>
      <c r="AG48" s="2">
        <v>50</v>
      </c>
      <c r="AH48" s="2">
        <v>20</v>
      </c>
      <c r="AI48" s="2">
        <f t="shared" si="7"/>
        <v>23.3</v>
      </c>
      <c r="AJ48">
        <f t="shared" si="8"/>
        <v>5030</v>
      </c>
      <c r="AK48" s="4">
        <f t="shared" si="9"/>
        <v>83.833333333333329</v>
      </c>
      <c r="AL48" s="3">
        <f t="shared" si="10"/>
        <v>3.4930555555555554</v>
      </c>
      <c r="AM48" s="5">
        <f t="shared" ca="1" si="6"/>
        <v>45015.301670138891</v>
      </c>
    </row>
    <row r="49" spans="20:39" x14ac:dyDescent="0.25">
      <c r="T49" s="6" cm="1">
        <f t="array" ref="T49">h2exh1($E49,$D49,$G49-$L$2,$T$1,$T$2,1)</f>
        <v>0</v>
      </c>
      <c r="AC49" s="2">
        <v>46</v>
      </c>
      <c r="AD49" s="2">
        <v>300</v>
      </c>
      <c r="AE49">
        <v>0</v>
      </c>
      <c r="AF49" s="2">
        <v>5</v>
      </c>
      <c r="AG49" s="2">
        <v>50</v>
      </c>
      <c r="AH49" s="2">
        <v>20</v>
      </c>
      <c r="AI49" s="2">
        <f t="shared" si="7"/>
        <v>5.3</v>
      </c>
      <c r="AJ49">
        <f t="shared" si="8"/>
        <v>5330</v>
      </c>
      <c r="AK49" s="4">
        <f t="shared" si="9"/>
        <v>88.833333333333329</v>
      </c>
      <c r="AL49" s="3">
        <f t="shared" si="10"/>
        <v>3.7013888888888888</v>
      </c>
      <c r="AM49" s="5">
        <f t="shared" ca="1" si="6"/>
        <v>45015.510003472227</v>
      </c>
    </row>
    <row r="50" spans="20:39" x14ac:dyDescent="0.25">
      <c r="T50" s="6" cm="1">
        <f t="array" ref="T50">h2exh1($E50,$D50,$G50-$L$2,$T$1,$T$2,1)</f>
        <v>0</v>
      </c>
      <c r="AC50" s="2">
        <v>47</v>
      </c>
      <c r="AD50" s="2">
        <v>80</v>
      </c>
      <c r="AE50">
        <v>0</v>
      </c>
      <c r="AF50" s="2">
        <v>5</v>
      </c>
      <c r="AG50" s="2">
        <v>10</v>
      </c>
      <c r="AH50" s="2">
        <v>20</v>
      </c>
      <c r="AI50" s="2">
        <f t="shared" si="7"/>
        <v>5.3</v>
      </c>
      <c r="AJ50">
        <f t="shared" si="8"/>
        <v>5410</v>
      </c>
      <c r="AK50" s="4">
        <f t="shared" si="9"/>
        <v>90.166666666666671</v>
      </c>
      <c r="AL50" s="3">
        <f t="shared" si="10"/>
        <v>3.7569444444444446</v>
      </c>
      <c r="AM50" s="5">
        <f t="shared" ca="1" si="6"/>
        <v>45015.565559027782</v>
      </c>
    </row>
    <row r="51" spans="20:39" x14ac:dyDescent="0.25">
      <c r="T51" s="6" cm="1">
        <f t="array" ref="T51">h2exh1($E51,$D51,$G51-$L$2,$T$1,$T$2,1)</f>
        <v>0</v>
      </c>
      <c r="AC51" s="2">
        <v>48</v>
      </c>
      <c r="AD51" s="2">
        <v>80</v>
      </c>
      <c r="AE51">
        <v>0</v>
      </c>
      <c r="AF51" s="2">
        <v>5</v>
      </c>
      <c r="AG51" s="2">
        <v>30</v>
      </c>
      <c r="AH51" s="2">
        <v>20</v>
      </c>
      <c r="AI51" s="2">
        <f t="shared" si="7"/>
        <v>5.3</v>
      </c>
      <c r="AJ51">
        <f t="shared" si="8"/>
        <v>5490</v>
      </c>
      <c r="AK51" s="4">
        <f t="shared" si="9"/>
        <v>91.5</v>
      </c>
      <c r="AL51" s="3">
        <f t="shared" si="10"/>
        <v>3.8125</v>
      </c>
      <c r="AM51" s="5">
        <f t="shared" ca="1" si="6"/>
        <v>45015.621114583337</v>
      </c>
    </row>
    <row r="52" spans="20:39" x14ac:dyDescent="0.25">
      <c r="T52" s="6" cm="1">
        <f t="array" ref="T52">h2exh1($E52,$D52,$G52-$L$2,$T$1,$T$2,1)</f>
        <v>0</v>
      </c>
      <c r="AC52" s="2">
        <v>49</v>
      </c>
      <c r="AD52" s="2">
        <v>80</v>
      </c>
      <c r="AE52">
        <v>0</v>
      </c>
      <c r="AF52" s="2">
        <v>5</v>
      </c>
      <c r="AG52" s="2">
        <v>50</v>
      </c>
      <c r="AH52" s="2">
        <v>20</v>
      </c>
      <c r="AI52" s="2">
        <f t="shared" si="7"/>
        <v>5.3</v>
      </c>
      <c r="AJ52">
        <f t="shared" si="8"/>
        <v>5570</v>
      </c>
      <c r="AK52" s="4">
        <f t="shared" si="9"/>
        <v>92.833333333333329</v>
      </c>
      <c r="AL52" s="3">
        <f t="shared" si="10"/>
        <v>3.8680555555555554</v>
      </c>
      <c r="AM52" s="5">
        <f t="shared" ca="1" si="6"/>
        <v>45015.676670138891</v>
      </c>
    </row>
    <row r="53" spans="20:39" x14ac:dyDescent="0.25">
      <c r="T53" s="6" cm="1">
        <f t="array" ref="T53">h2exh1($E53,$D53,$G53-$L$2,$T$1,$T$2,1)</f>
        <v>0</v>
      </c>
      <c r="AC53" s="2">
        <v>50</v>
      </c>
      <c r="AD53" s="2">
        <v>80</v>
      </c>
      <c r="AE53">
        <v>0</v>
      </c>
      <c r="AF53" s="2">
        <v>5</v>
      </c>
      <c r="AG53" s="2">
        <v>70</v>
      </c>
      <c r="AH53" s="2">
        <v>20</v>
      </c>
      <c r="AI53" s="2">
        <f t="shared" si="7"/>
        <v>5.3</v>
      </c>
      <c r="AJ53">
        <f t="shared" si="8"/>
        <v>5650</v>
      </c>
      <c r="AK53" s="4">
        <f t="shared" si="9"/>
        <v>94.166666666666671</v>
      </c>
      <c r="AL53" s="3">
        <f t="shared" si="10"/>
        <v>3.9236111111111112</v>
      </c>
      <c r="AM53" s="5">
        <f t="shared" ca="1" si="6"/>
        <v>45015.732225694446</v>
      </c>
    </row>
    <row r="54" spans="20:39" x14ac:dyDescent="0.25">
      <c r="T54" s="6" cm="1">
        <f t="array" ref="T54">h2exh1($E54,$D54,$G54-$L$2,$T$1,$T$2,1)</f>
        <v>0</v>
      </c>
      <c r="AC54" s="2">
        <v>51</v>
      </c>
      <c r="AD54" s="2">
        <v>80</v>
      </c>
      <c r="AE54">
        <v>0</v>
      </c>
      <c r="AF54" s="2">
        <v>5</v>
      </c>
      <c r="AG54" s="2">
        <v>95</v>
      </c>
      <c r="AH54" s="2">
        <v>20</v>
      </c>
      <c r="AI54" s="2">
        <f t="shared" si="7"/>
        <v>5.3</v>
      </c>
      <c r="AJ54">
        <f t="shared" si="8"/>
        <v>5730</v>
      </c>
      <c r="AK54" s="4">
        <f t="shared" si="9"/>
        <v>95.5</v>
      </c>
      <c r="AL54" s="3">
        <f t="shared" si="10"/>
        <v>3.9791666666666665</v>
      </c>
      <c r="AM54" s="5">
        <f t="shared" ca="1" si="6"/>
        <v>45015.787781250001</v>
      </c>
    </row>
    <row r="55" spans="20:39" x14ac:dyDescent="0.25">
      <c r="T55" s="6" cm="1">
        <f t="array" ref="T55">h2exh1($E55,$D55,$G55-$L$2,$T$1,$T$2,1)</f>
        <v>0</v>
      </c>
      <c r="AC55" s="2">
        <v>52</v>
      </c>
      <c r="AD55" s="2">
        <v>80</v>
      </c>
      <c r="AE55">
        <v>0</v>
      </c>
      <c r="AF55" s="2">
        <v>5</v>
      </c>
      <c r="AG55" s="2">
        <v>50</v>
      </c>
      <c r="AH55" s="2">
        <v>20</v>
      </c>
      <c r="AI55" s="2">
        <f t="shared" si="7"/>
        <v>5.3</v>
      </c>
      <c r="AJ55">
        <f t="shared" si="8"/>
        <v>5810</v>
      </c>
      <c r="AK55" s="4">
        <f t="shared" si="9"/>
        <v>96.833333333333329</v>
      </c>
      <c r="AL55" s="3">
        <f t="shared" si="10"/>
        <v>4.0347222222222223</v>
      </c>
      <c r="AM55" s="5">
        <f t="shared" ca="1" si="6"/>
        <v>45015.843336805556</v>
      </c>
    </row>
    <row r="56" spans="20:39" x14ac:dyDescent="0.25">
      <c r="T56" s="6" cm="1">
        <f t="array" ref="T56">h2exh1($E56,$D56,$G56-$L$2,$T$1,$T$2,1)</f>
        <v>0</v>
      </c>
      <c r="AC56" s="2">
        <v>53</v>
      </c>
      <c r="AD56" s="2">
        <v>300</v>
      </c>
      <c r="AE56">
        <v>0</v>
      </c>
      <c r="AF56" s="2">
        <v>23</v>
      </c>
      <c r="AG56" s="2">
        <v>50</v>
      </c>
      <c r="AH56" s="2">
        <v>20</v>
      </c>
      <c r="AI56" s="2">
        <f t="shared" si="7"/>
        <v>23.3</v>
      </c>
      <c r="AJ56">
        <f t="shared" si="8"/>
        <v>6110</v>
      </c>
      <c r="AK56" s="4">
        <f t="shared" si="9"/>
        <v>101.83333333333333</v>
      </c>
      <c r="AL56" s="3">
        <f t="shared" si="10"/>
        <v>4.2430555555555554</v>
      </c>
      <c r="AM56" s="5">
        <f t="shared" ca="1" si="6"/>
        <v>45016.051670138891</v>
      </c>
    </row>
    <row r="57" spans="20:39" x14ac:dyDescent="0.25">
      <c r="T57" s="6" cm="1">
        <f t="array" ref="T57">h2exh1($E57,$D57,$G57-$L$2,$T$1,$T$2,1)</f>
        <v>0</v>
      </c>
      <c r="AC57" s="2">
        <v>54</v>
      </c>
      <c r="AD57" s="2">
        <v>80</v>
      </c>
      <c r="AE57">
        <v>0</v>
      </c>
      <c r="AF57" s="2">
        <v>23</v>
      </c>
      <c r="AG57" s="2">
        <v>10</v>
      </c>
      <c r="AH57" s="2">
        <v>20</v>
      </c>
      <c r="AI57" s="2">
        <f t="shared" si="7"/>
        <v>23.3</v>
      </c>
      <c r="AJ57">
        <f t="shared" si="8"/>
        <v>6190</v>
      </c>
      <c r="AK57" s="4">
        <f t="shared" si="9"/>
        <v>103.16666666666667</v>
      </c>
      <c r="AL57" s="3">
        <f t="shared" si="10"/>
        <v>4.2986111111111116</v>
      </c>
      <c r="AM57" s="5">
        <f t="shared" ca="1" si="6"/>
        <v>45016.107225694446</v>
      </c>
    </row>
    <row r="58" spans="20:39" x14ac:dyDescent="0.25">
      <c r="T58" s="6" cm="1">
        <f t="array" ref="T58">h2exh1($E58,$D58,$G58-$L$2,$T$1,$T$2,1)</f>
        <v>0</v>
      </c>
      <c r="AC58" s="2">
        <v>55</v>
      </c>
      <c r="AD58" s="2">
        <v>80</v>
      </c>
      <c r="AE58">
        <v>0</v>
      </c>
      <c r="AF58" s="2">
        <v>23</v>
      </c>
      <c r="AG58" s="2">
        <v>30</v>
      </c>
      <c r="AH58" s="2">
        <v>20</v>
      </c>
      <c r="AI58" s="2">
        <f t="shared" si="7"/>
        <v>23.3</v>
      </c>
      <c r="AJ58">
        <f t="shared" si="8"/>
        <v>6270</v>
      </c>
      <c r="AK58" s="4">
        <f t="shared" si="9"/>
        <v>104.5</v>
      </c>
      <c r="AL58" s="3">
        <f t="shared" si="10"/>
        <v>4.354166666666667</v>
      </c>
      <c r="AM58" s="5">
        <f t="shared" ca="1" si="6"/>
        <v>45016.162781250001</v>
      </c>
    </row>
    <row r="59" spans="20:39" x14ac:dyDescent="0.25">
      <c r="T59" s="6" cm="1">
        <f t="array" ref="T59">h2exh1($E59,$D59,$G59-$L$2,$T$1,$T$2,1)</f>
        <v>0</v>
      </c>
      <c r="AC59" s="2">
        <v>56</v>
      </c>
      <c r="AD59" s="2">
        <v>80</v>
      </c>
      <c r="AE59">
        <v>0</v>
      </c>
      <c r="AF59" s="2">
        <v>23</v>
      </c>
      <c r="AG59" s="2">
        <v>50</v>
      </c>
      <c r="AH59" s="2">
        <v>20</v>
      </c>
      <c r="AI59" s="2">
        <f t="shared" si="7"/>
        <v>23.3</v>
      </c>
      <c r="AJ59">
        <f t="shared" si="8"/>
        <v>6350</v>
      </c>
      <c r="AK59" s="4">
        <f t="shared" si="9"/>
        <v>105.83333333333333</v>
      </c>
      <c r="AL59" s="3">
        <f t="shared" si="10"/>
        <v>4.4097222222222223</v>
      </c>
      <c r="AM59" s="5">
        <f t="shared" ca="1" si="6"/>
        <v>45016.218336805556</v>
      </c>
    </row>
    <row r="60" spans="20:39" x14ac:dyDescent="0.25">
      <c r="T60" s="6" cm="1">
        <f t="array" ref="T60">h2exh1($E60,$D60,$G60-$L$2,$T$1,$T$2,1)</f>
        <v>0</v>
      </c>
      <c r="AC60" s="2">
        <v>57</v>
      </c>
      <c r="AD60" s="2">
        <v>80</v>
      </c>
      <c r="AE60">
        <v>0</v>
      </c>
      <c r="AF60" s="2">
        <v>23</v>
      </c>
      <c r="AG60" s="2">
        <v>70</v>
      </c>
      <c r="AH60" s="2">
        <v>20</v>
      </c>
      <c r="AI60" s="2">
        <f t="shared" si="7"/>
        <v>23.3</v>
      </c>
      <c r="AJ60">
        <f t="shared" si="8"/>
        <v>6430</v>
      </c>
      <c r="AK60" s="4">
        <f t="shared" si="9"/>
        <v>107.16666666666667</v>
      </c>
      <c r="AL60" s="3">
        <f t="shared" si="10"/>
        <v>4.4652777777777777</v>
      </c>
      <c r="AM60" s="5">
        <f t="shared" ca="1" si="6"/>
        <v>45016.273892361118</v>
      </c>
    </row>
    <row r="61" spans="20:39" x14ac:dyDescent="0.25">
      <c r="T61" s="6" cm="1">
        <f t="array" ref="T61">h2exh1($E61,$D61,$G61-$L$2,$T$1,$T$2,1)</f>
        <v>0</v>
      </c>
      <c r="AC61" s="2">
        <v>58</v>
      </c>
      <c r="AD61" s="2">
        <v>80</v>
      </c>
      <c r="AE61">
        <v>0</v>
      </c>
      <c r="AF61" s="2">
        <v>23</v>
      </c>
      <c r="AG61" s="2">
        <v>95</v>
      </c>
      <c r="AH61" s="2">
        <v>20</v>
      </c>
      <c r="AI61" s="2">
        <f t="shared" si="7"/>
        <v>23.3</v>
      </c>
      <c r="AJ61">
        <f t="shared" si="8"/>
        <v>6510</v>
      </c>
      <c r="AK61" s="4">
        <f t="shared" si="9"/>
        <v>108.5</v>
      </c>
      <c r="AL61" s="3">
        <f t="shared" si="10"/>
        <v>4.520833333333333</v>
      </c>
      <c r="AM61" s="5">
        <f t="shared" ca="1" si="6"/>
        <v>45016.329447916673</v>
      </c>
    </row>
    <row r="62" spans="20:39" x14ac:dyDescent="0.25">
      <c r="T62" s="6" cm="1">
        <f t="array" ref="T62">h2exh1($E62,$D62,$G62-$L$2,$T$1,$T$2,1)</f>
        <v>0</v>
      </c>
      <c r="AC62" s="2">
        <v>59</v>
      </c>
      <c r="AD62" s="2">
        <v>80</v>
      </c>
      <c r="AE62">
        <v>0</v>
      </c>
      <c r="AF62" s="2">
        <v>23</v>
      </c>
      <c r="AG62" s="2">
        <v>50</v>
      </c>
      <c r="AH62" s="2">
        <v>20</v>
      </c>
      <c r="AI62" s="2">
        <f t="shared" si="7"/>
        <v>23.3</v>
      </c>
      <c r="AJ62">
        <f t="shared" si="8"/>
        <v>6590</v>
      </c>
      <c r="AK62" s="4">
        <f t="shared" si="9"/>
        <v>109.83333333333333</v>
      </c>
      <c r="AL62" s="3">
        <f t="shared" si="10"/>
        <v>4.5763888888888884</v>
      </c>
      <c r="AM62" s="5">
        <f t="shared" ca="1" si="6"/>
        <v>45016.385003472227</v>
      </c>
    </row>
    <row r="63" spans="20:39" x14ac:dyDescent="0.25">
      <c r="T63" s="6" cm="1">
        <f t="array" ref="T63">h2exh1($E63,$D63,$G63-$L$2,$T$1,$T$2,1)</f>
        <v>0</v>
      </c>
      <c r="AC63" s="2">
        <v>60</v>
      </c>
      <c r="AD63" s="2">
        <v>300</v>
      </c>
      <c r="AE63">
        <v>0</v>
      </c>
      <c r="AF63" s="2">
        <v>50</v>
      </c>
      <c r="AG63" s="2">
        <v>50</v>
      </c>
      <c r="AH63" s="2">
        <v>20</v>
      </c>
      <c r="AI63" s="2">
        <f t="shared" si="7"/>
        <v>50.3</v>
      </c>
      <c r="AJ63">
        <f t="shared" si="8"/>
        <v>6890</v>
      </c>
      <c r="AK63" s="4">
        <f t="shared" si="9"/>
        <v>114.83333333333333</v>
      </c>
      <c r="AL63" s="3">
        <f t="shared" si="10"/>
        <v>4.7847222222222223</v>
      </c>
      <c r="AM63" s="5">
        <f t="shared" ca="1" si="6"/>
        <v>45016.593336805556</v>
      </c>
    </row>
    <row r="64" spans="20:39" x14ac:dyDescent="0.25">
      <c r="T64" s="6" cm="1">
        <f t="array" ref="T64">h2exh1($E64,$D64,$G64-$L$2,$T$1,$T$2,1)</f>
        <v>0</v>
      </c>
      <c r="AC64" s="2">
        <v>61</v>
      </c>
      <c r="AD64" s="2">
        <v>80</v>
      </c>
      <c r="AE64">
        <v>0</v>
      </c>
      <c r="AF64" s="2">
        <v>50</v>
      </c>
      <c r="AG64" s="2">
        <v>10</v>
      </c>
      <c r="AH64" s="2">
        <v>20</v>
      </c>
      <c r="AI64" s="2">
        <f t="shared" si="7"/>
        <v>50.3</v>
      </c>
      <c r="AJ64">
        <f t="shared" si="8"/>
        <v>6970</v>
      </c>
      <c r="AK64" s="4">
        <f t="shared" si="9"/>
        <v>116.16666666666667</v>
      </c>
      <c r="AL64" s="3">
        <f t="shared" si="10"/>
        <v>4.8402777777777777</v>
      </c>
      <c r="AM64" s="5">
        <f t="shared" ca="1" si="6"/>
        <v>45016.648892361118</v>
      </c>
    </row>
    <row r="65" spans="20:39" x14ac:dyDescent="0.25">
      <c r="T65" s="6" cm="1">
        <f t="array" ref="T65">h2exh1($E65,$D65,$G65-$L$2,$T$1,$T$2,1)</f>
        <v>0</v>
      </c>
      <c r="AC65" s="2">
        <v>62</v>
      </c>
      <c r="AD65" s="2">
        <v>80</v>
      </c>
      <c r="AE65">
        <v>0</v>
      </c>
      <c r="AF65" s="2">
        <v>50</v>
      </c>
      <c r="AG65" s="2">
        <v>30</v>
      </c>
      <c r="AH65" s="2">
        <v>20</v>
      </c>
      <c r="AI65" s="2">
        <f t="shared" si="7"/>
        <v>50.3</v>
      </c>
      <c r="AJ65">
        <f t="shared" si="8"/>
        <v>7050</v>
      </c>
      <c r="AK65" s="4">
        <f t="shared" si="9"/>
        <v>117.5</v>
      </c>
      <c r="AL65" s="3">
        <f t="shared" si="10"/>
        <v>4.895833333333333</v>
      </c>
      <c r="AM65" s="5">
        <f t="shared" ca="1" si="6"/>
        <v>45016.704447916673</v>
      </c>
    </row>
    <row r="66" spans="20:39" x14ac:dyDescent="0.25">
      <c r="T66" s="6" cm="1">
        <f t="array" ref="T66">h2exh1($E66,$D66,$G66-$L$2,$T$1,$T$2,1)</f>
        <v>0</v>
      </c>
      <c r="AC66" s="2">
        <v>63</v>
      </c>
      <c r="AD66" s="2">
        <v>80</v>
      </c>
      <c r="AE66">
        <v>0</v>
      </c>
      <c r="AF66" s="2">
        <v>50</v>
      </c>
      <c r="AG66" s="2">
        <v>50</v>
      </c>
      <c r="AH66" s="2">
        <v>20</v>
      </c>
      <c r="AI66" s="2">
        <f t="shared" si="7"/>
        <v>50.3</v>
      </c>
      <c r="AJ66">
        <f t="shared" si="8"/>
        <v>7130</v>
      </c>
      <c r="AK66" s="4">
        <f t="shared" si="9"/>
        <v>118.83333333333333</v>
      </c>
      <c r="AL66" s="3">
        <f t="shared" si="10"/>
        <v>4.9513888888888884</v>
      </c>
      <c r="AM66" s="5">
        <f t="shared" ca="1" si="6"/>
        <v>45016.760003472227</v>
      </c>
    </row>
    <row r="67" spans="20:39" x14ac:dyDescent="0.25">
      <c r="T67" s="6" cm="1">
        <f t="array" ref="T67">h2exh1($E67,$D67,$G67-$L$2,$T$1,$T$2,1)</f>
        <v>0</v>
      </c>
      <c r="AC67" s="2">
        <v>64</v>
      </c>
      <c r="AD67" s="2">
        <v>80</v>
      </c>
      <c r="AE67">
        <v>0</v>
      </c>
      <c r="AF67" s="2">
        <v>50</v>
      </c>
      <c r="AG67" s="2">
        <v>70</v>
      </c>
      <c r="AH67" s="2">
        <v>20</v>
      </c>
      <c r="AI67" s="2">
        <f t="shared" si="7"/>
        <v>50.3</v>
      </c>
      <c r="AJ67">
        <f t="shared" si="8"/>
        <v>7210</v>
      </c>
      <c r="AK67" s="4">
        <f t="shared" si="9"/>
        <v>120.16666666666667</v>
      </c>
      <c r="AL67" s="3">
        <f t="shared" si="10"/>
        <v>5.0069444444444446</v>
      </c>
      <c r="AM67" s="5">
        <f t="shared" ca="1" si="6"/>
        <v>45016.815559027782</v>
      </c>
    </row>
    <row r="68" spans="20:39" x14ac:dyDescent="0.25">
      <c r="T68" s="6" cm="1">
        <f t="array" ref="T68">h2exh1($E68,$D68,$G68-$L$2,$T$1,$T$2,1)</f>
        <v>0</v>
      </c>
      <c r="AC68" s="2">
        <v>65</v>
      </c>
      <c r="AD68" s="2">
        <v>80</v>
      </c>
      <c r="AE68">
        <v>0</v>
      </c>
      <c r="AF68" s="2">
        <v>50</v>
      </c>
      <c r="AG68" s="2">
        <v>95</v>
      </c>
      <c r="AH68" s="2">
        <v>20</v>
      </c>
      <c r="AI68" s="2">
        <f t="shared" si="7"/>
        <v>50.3</v>
      </c>
      <c r="AJ68">
        <f t="shared" si="8"/>
        <v>7290</v>
      </c>
      <c r="AK68" s="4">
        <f t="shared" si="9"/>
        <v>121.5</v>
      </c>
      <c r="AL68" s="3">
        <f t="shared" si="10"/>
        <v>5.0625</v>
      </c>
      <c r="AM68" s="5">
        <f t="shared" ca="1" si="6"/>
        <v>45016.871114583337</v>
      </c>
    </row>
    <row r="69" spans="20:39" x14ac:dyDescent="0.25">
      <c r="T69" s="6" cm="1">
        <f t="array" ref="T69">h2exh1($E69,$D69,$G69-$L$2,$T$1,$T$2,1)</f>
        <v>0</v>
      </c>
      <c r="AC69" s="2">
        <v>66</v>
      </c>
      <c r="AD69" s="2">
        <v>80</v>
      </c>
      <c r="AE69">
        <v>0</v>
      </c>
      <c r="AF69" s="2">
        <v>50</v>
      </c>
      <c r="AG69" s="2">
        <v>50</v>
      </c>
      <c r="AH69" s="2">
        <v>20</v>
      </c>
      <c r="AI69" s="2">
        <f t="shared" si="7"/>
        <v>50.3</v>
      </c>
      <c r="AJ69">
        <f t="shared" si="8"/>
        <v>7370</v>
      </c>
      <c r="AK69" s="4">
        <f t="shared" si="9"/>
        <v>122.83333333333333</v>
      </c>
      <c r="AL69" s="3">
        <f t="shared" si="10"/>
        <v>5.1180555555555554</v>
      </c>
      <c r="AM69" s="5">
        <f t="shared" ref="AM69:AM70" ca="1" si="13">$AM$3+AL69</f>
        <v>45016.926670138891</v>
      </c>
    </row>
    <row r="70" spans="20:39" x14ac:dyDescent="0.25">
      <c r="T70" s="6" cm="1">
        <f t="array" ref="T70">h2exh1($E70,$D70,$G70-$L$2,$T$1,$T$2,1)</f>
        <v>0</v>
      </c>
      <c r="AC70" s="2">
        <v>67</v>
      </c>
      <c r="AD70" s="2">
        <v>300</v>
      </c>
      <c r="AE70">
        <v>0</v>
      </c>
      <c r="AF70" s="2">
        <v>23</v>
      </c>
      <c r="AG70" s="2">
        <v>50</v>
      </c>
      <c r="AH70" s="2">
        <v>20</v>
      </c>
      <c r="AI70" s="2">
        <f t="shared" ref="AI70" si="14">AF70+0.3</f>
        <v>23.3</v>
      </c>
      <c r="AJ70">
        <f t="shared" ref="AJ70" si="15">SUM(AD70+AJ69)</f>
        <v>7670</v>
      </c>
      <c r="AK70" s="4">
        <f t="shared" ref="AK70" si="16">AJ70/60</f>
        <v>127.83333333333333</v>
      </c>
      <c r="AL70" s="3">
        <f t="shared" ref="AL70" si="17">AK70/24</f>
        <v>5.3263888888888884</v>
      </c>
      <c r="AM70" s="5">
        <f t="shared" ca="1" si="13"/>
        <v>45017.135003472227</v>
      </c>
    </row>
  </sheetData>
  <conditionalFormatting sqref="AD3:AD12 AD26:AD27">
    <cfRule type="colorScale" priority="37">
      <colorScale>
        <cfvo type="min"/>
        <cfvo type="max"/>
        <color rgb="FFFFEF9C"/>
        <color rgb="FF63BE7B"/>
      </colorScale>
    </cfRule>
  </conditionalFormatting>
  <conditionalFormatting sqref="AG4:AG11 AG26">
    <cfRule type="colorScale" priority="36">
      <colorScale>
        <cfvo type="min"/>
        <cfvo type="max"/>
        <color rgb="FFF8696B"/>
        <color rgb="FFFCFCFF"/>
      </colorScale>
    </cfRule>
  </conditionalFormatting>
  <conditionalFormatting sqref="AF4:AF26">
    <cfRule type="colorScale" priority="35">
      <colorScale>
        <cfvo type="min"/>
        <cfvo type="max"/>
        <color rgb="FFFFEF9C"/>
        <color rgb="FF63BE7B"/>
      </colorScale>
    </cfRule>
  </conditionalFormatting>
  <conditionalFormatting sqref="AD13:AD18">
    <cfRule type="colorScale" priority="34">
      <colorScale>
        <cfvo type="min"/>
        <cfvo type="max"/>
        <color rgb="FFFFEF9C"/>
        <color rgb="FF63BE7B"/>
      </colorScale>
    </cfRule>
  </conditionalFormatting>
  <conditionalFormatting sqref="AG12:AG18">
    <cfRule type="colorScale" priority="33">
      <colorScale>
        <cfvo type="min"/>
        <cfvo type="max"/>
        <color rgb="FFF8696B"/>
        <color rgb="FFFCFCFF"/>
      </colorScale>
    </cfRule>
  </conditionalFormatting>
  <conditionalFormatting sqref="AD20:AD25">
    <cfRule type="colorScale" priority="32">
      <colorScale>
        <cfvo type="min"/>
        <cfvo type="max"/>
        <color rgb="FFFFEF9C"/>
        <color rgb="FF63BE7B"/>
      </colorScale>
    </cfRule>
  </conditionalFormatting>
  <conditionalFormatting sqref="AG19:AG25">
    <cfRule type="colorScale" priority="31">
      <colorScale>
        <cfvo type="min"/>
        <cfvo type="max"/>
        <color rgb="FFF8696B"/>
        <color rgb="FFFCFCFF"/>
      </colorScale>
    </cfRule>
  </conditionalFormatting>
  <conditionalFormatting sqref="AD28:AD33">
    <cfRule type="colorScale" priority="30">
      <colorScale>
        <cfvo type="min"/>
        <cfvo type="max"/>
        <color rgb="FFFFEF9C"/>
        <color rgb="FF63BE7B"/>
      </colorScale>
    </cfRule>
  </conditionalFormatting>
  <conditionalFormatting sqref="AG27:AG33 AG48">
    <cfRule type="colorScale" priority="29">
      <colorScale>
        <cfvo type="min"/>
        <cfvo type="max"/>
        <color rgb="FFF8696B"/>
        <color rgb="FFFCFCFF"/>
      </colorScale>
    </cfRule>
  </conditionalFormatting>
  <conditionalFormatting sqref="AF27:AF48">
    <cfRule type="colorScale" priority="28">
      <colorScale>
        <cfvo type="min"/>
        <cfvo type="max"/>
        <color rgb="FFFFEF9C"/>
        <color rgb="FF63BE7B"/>
      </colorScale>
    </cfRule>
  </conditionalFormatting>
  <conditionalFormatting sqref="AD35:AD40">
    <cfRule type="colorScale" priority="27">
      <colorScale>
        <cfvo type="min"/>
        <cfvo type="max"/>
        <color rgb="FFFFEF9C"/>
        <color rgb="FF63BE7B"/>
      </colorScale>
    </cfRule>
  </conditionalFormatting>
  <conditionalFormatting sqref="AG34:AG40">
    <cfRule type="colorScale" priority="26">
      <colorScale>
        <cfvo type="min"/>
        <cfvo type="max"/>
        <color rgb="FFF8696B"/>
        <color rgb="FFFCFCFF"/>
      </colorScale>
    </cfRule>
  </conditionalFormatting>
  <conditionalFormatting sqref="AD42:AD47">
    <cfRule type="colorScale" priority="25">
      <colorScale>
        <cfvo type="min"/>
        <cfvo type="max"/>
        <color rgb="FFFFEF9C"/>
        <color rgb="FF63BE7B"/>
      </colorScale>
    </cfRule>
  </conditionalFormatting>
  <conditionalFormatting sqref="AG41:AG47">
    <cfRule type="colorScale" priority="24">
      <colorScale>
        <cfvo type="min"/>
        <cfvo type="max"/>
        <color rgb="FFF8696B"/>
        <color rgb="FFFCFCFF"/>
      </colorScale>
    </cfRule>
  </conditionalFormatting>
  <conditionalFormatting sqref="AD50:AD55">
    <cfRule type="colorScale" priority="23">
      <colorScale>
        <cfvo type="min"/>
        <cfvo type="max"/>
        <color rgb="FFFFEF9C"/>
        <color rgb="FF63BE7B"/>
      </colorScale>
    </cfRule>
  </conditionalFormatting>
  <conditionalFormatting sqref="AG49:AG55 AG70">
    <cfRule type="colorScale" priority="22">
      <colorScale>
        <cfvo type="min"/>
        <cfvo type="max"/>
        <color rgb="FFF8696B"/>
        <color rgb="FFFCFCFF"/>
      </colorScale>
    </cfRule>
  </conditionalFormatting>
  <conditionalFormatting sqref="AF49:AF70">
    <cfRule type="colorScale" priority="21">
      <colorScale>
        <cfvo type="min"/>
        <cfvo type="max"/>
        <color rgb="FFFFEF9C"/>
        <color rgb="FF63BE7B"/>
      </colorScale>
    </cfRule>
  </conditionalFormatting>
  <conditionalFormatting sqref="AD57:AD62">
    <cfRule type="colorScale" priority="20">
      <colorScale>
        <cfvo type="min"/>
        <cfvo type="max"/>
        <color rgb="FFFFEF9C"/>
        <color rgb="FF63BE7B"/>
      </colorScale>
    </cfRule>
  </conditionalFormatting>
  <conditionalFormatting sqref="AG56:AG62">
    <cfRule type="colorScale" priority="19">
      <colorScale>
        <cfvo type="min"/>
        <cfvo type="max"/>
        <color rgb="FFF8696B"/>
        <color rgb="FFFCFCFF"/>
      </colorScale>
    </cfRule>
  </conditionalFormatting>
  <conditionalFormatting sqref="AD64:AD69">
    <cfRule type="colorScale" priority="18">
      <colorScale>
        <cfvo type="min"/>
        <cfvo type="max"/>
        <color rgb="FFFFEF9C"/>
        <color rgb="FF63BE7B"/>
      </colorScale>
    </cfRule>
  </conditionalFormatting>
  <conditionalFormatting sqref="AG63:AG69">
    <cfRule type="colorScale" priority="17">
      <colorScale>
        <cfvo type="min"/>
        <cfvo type="max"/>
        <color rgb="FFF8696B"/>
        <color rgb="FFFCFCFF"/>
      </colorScale>
    </cfRule>
  </conditionalFormatting>
  <conditionalFormatting sqref="AD19">
    <cfRule type="colorScale" priority="16">
      <colorScale>
        <cfvo type="min"/>
        <cfvo type="max"/>
        <color rgb="FFFFEF9C"/>
        <color rgb="FF63BE7B"/>
      </colorScale>
    </cfRule>
  </conditionalFormatting>
  <conditionalFormatting sqref="AD34">
    <cfRule type="colorScale" priority="15">
      <colorScale>
        <cfvo type="min"/>
        <cfvo type="max"/>
        <color rgb="FFFFEF9C"/>
        <color rgb="FF63BE7B"/>
      </colorScale>
    </cfRule>
  </conditionalFormatting>
  <conditionalFormatting sqref="AD41">
    <cfRule type="colorScale" priority="14">
      <colorScale>
        <cfvo type="min"/>
        <cfvo type="max"/>
        <color rgb="FFFFEF9C"/>
        <color rgb="FF63BE7B"/>
      </colorScale>
    </cfRule>
  </conditionalFormatting>
  <conditionalFormatting sqref="AD48:AD49">
    <cfRule type="colorScale" priority="13">
      <colorScale>
        <cfvo type="min"/>
        <cfvo type="max"/>
        <color rgb="FFFFEF9C"/>
        <color rgb="FF63BE7B"/>
      </colorScale>
    </cfRule>
  </conditionalFormatting>
  <conditionalFormatting sqref="AD56">
    <cfRule type="colorScale" priority="12">
      <colorScale>
        <cfvo type="min"/>
        <cfvo type="max"/>
        <color rgb="FFFFEF9C"/>
        <color rgb="FF63BE7B"/>
      </colorScale>
    </cfRule>
  </conditionalFormatting>
  <conditionalFormatting sqref="AD63">
    <cfRule type="colorScale" priority="11">
      <colorScale>
        <cfvo type="min"/>
        <cfvo type="max"/>
        <color rgb="FFFFEF9C"/>
        <color rgb="FF63BE7B"/>
      </colorScale>
    </cfRule>
  </conditionalFormatting>
  <conditionalFormatting sqref="AD70">
    <cfRule type="colorScale" priority="10">
      <colorScale>
        <cfvo type="min"/>
        <cfvo type="max"/>
        <color rgb="FFFFEF9C"/>
        <color rgb="FF63BE7B"/>
      </colorScale>
    </cfRule>
  </conditionalFormatting>
  <conditionalFormatting sqref="AD5:AD70">
    <cfRule type="colorScale" priority="8">
      <colorScale>
        <cfvo type="min"/>
        <cfvo type="max"/>
        <color rgb="FFFFEF9C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9">
    <cfRule type="colorScale" priority="7">
      <colorScale>
        <cfvo type="min"/>
        <cfvo type="max"/>
        <color rgb="FFFFEF9C"/>
        <color rgb="FF63BE7B"/>
      </colorScale>
    </cfRule>
  </conditionalFormatting>
  <conditionalFormatting sqref="N1:N1048576 P1:P1048576">
    <cfRule type="colorScale" priority="6">
      <colorScale>
        <cfvo type="min"/>
        <cfvo type="max"/>
        <color rgb="FFFCFCFF"/>
        <color rgb="FFF8696B"/>
      </colorScale>
    </cfRule>
  </conditionalFormatting>
  <conditionalFormatting sqref="E4:E25">
    <cfRule type="colorScale" priority="5">
      <colorScale>
        <cfvo type="min"/>
        <cfvo type="max"/>
        <color rgb="FFFCFCFF"/>
        <color rgb="FF63BE7B"/>
      </colorScale>
    </cfRule>
  </conditionalFormatting>
  <conditionalFormatting sqref="P1:P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7BF99-4347-487A-8BFC-79D6F968C62A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a230326b_s14test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Jeremy Lovell-Smith</cp:lastModifiedBy>
  <dcterms:created xsi:type="dcterms:W3CDTF">2023-03-17T08:50:48Z</dcterms:created>
  <dcterms:modified xsi:type="dcterms:W3CDTF">2023-03-26T06:25:01Z</dcterms:modified>
</cp:coreProperties>
</file>