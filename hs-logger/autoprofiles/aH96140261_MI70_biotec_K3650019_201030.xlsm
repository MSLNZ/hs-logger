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umidity\PycharmProjects\hs-logger\hs-logger\autoprofiles\"/>
    </mc:Choice>
  </mc:AlternateContent>
  <xr:revisionPtr revIDLastSave="0" documentId="13_ncr:9_{0F64A9AC-C5D8-4FDA-8168-85E4A9F53853}" xr6:coauthVersionLast="47" xr6:coauthVersionMax="47" xr10:uidLastSave="{00000000-0000-0000-0000-000000000000}"/>
  <bookViews>
    <workbookView xWindow="10995" yWindow="2640" windowWidth="24510" windowHeight="11385" xr2:uid="{27B8AC32-3C1B-40DB-9325-AAE4D3573436}"/>
  </bookViews>
  <sheets>
    <sheet name="aH96140261_MI70_biotec_K3650019" sheetId="1" r:id="rId1"/>
  </sheets>
  <functionGroups builtInGroupCount="19"/>
  <calcPr calcId="0"/>
</workbook>
</file>

<file path=xl/calcChain.xml><?xml version="1.0" encoding="utf-8"?>
<calcChain xmlns="http://schemas.openxmlformats.org/spreadsheetml/2006/main">
  <c r="M5" i="1" l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4" i="1"/>
  <c r="N50" i="1" a="1"/>
  <c r="J31" i="1" a="1"/>
  <c r="N50" i="1" l="1"/>
  <c r="J31" i="1"/>
  <c r="J24" i="1" a="1"/>
  <c r="J28" i="1" a="1"/>
  <c r="J32" i="1" a="1"/>
  <c r="J36" i="1" a="1"/>
  <c r="J40" i="1" a="1"/>
  <c r="J44" i="1" a="1"/>
  <c r="J48" i="1" a="1"/>
  <c r="J52" i="1" a="1"/>
  <c r="J56" i="1" a="1"/>
  <c r="J60" i="1" a="1"/>
  <c r="J64" i="1" a="1"/>
  <c r="J68" i="1" a="1"/>
  <c r="J72" i="1" a="1"/>
  <c r="J88" i="1" a="1"/>
  <c r="J96" i="1" a="1"/>
  <c r="J93" i="1" a="1"/>
  <c r="J55" i="1" a="1"/>
  <c r="J75" i="1" a="1"/>
  <c r="J87" i="1" a="1"/>
  <c r="J76" i="1" a="1"/>
  <c r="J25" i="1" a="1"/>
  <c r="J29" i="1" a="1"/>
  <c r="J33" i="1" a="1"/>
  <c r="J37" i="1" a="1"/>
  <c r="J41" i="1" a="1"/>
  <c r="J45" i="1" a="1"/>
  <c r="J49" i="1" a="1"/>
  <c r="J53" i="1" a="1"/>
  <c r="J57" i="1" a="1"/>
  <c r="J61" i="1" a="1"/>
  <c r="J65" i="1" a="1"/>
  <c r="J69" i="1" a="1"/>
  <c r="J73" i="1" a="1"/>
  <c r="J77" i="1" a="1"/>
  <c r="J81" i="1" a="1"/>
  <c r="J85" i="1" a="1"/>
  <c r="J89" i="1" a="1"/>
  <c r="J97" i="1" a="1"/>
  <c r="J59" i="1" a="1"/>
  <c r="J79" i="1" a="1"/>
  <c r="J99" i="1" a="1"/>
  <c r="J84" i="1" a="1"/>
  <c r="J100" i="1" a="1"/>
  <c r="J26" i="1" a="1"/>
  <c r="J30" i="1" a="1"/>
  <c r="J34" i="1" a="1"/>
  <c r="J38" i="1" a="1"/>
  <c r="J42" i="1" a="1"/>
  <c r="J46" i="1" a="1"/>
  <c r="J50" i="1" a="1"/>
  <c r="J54" i="1" a="1"/>
  <c r="J58" i="1" a="1"/>
  <c r="J62" i="1" a="1"/>
  <c r="J66" i="1" a="1"/>
  <c r="J70" i="1" a="1"/>
  <c r="J74" i="1" a="1"/>
  <c r="J78" i="1" a="1"/>
  <c r="J82" i="1" a="1"/>
  <c r="J86" i="1" a="1"/>
  <c r="J90" i="1" a="1"/>
  <c r="J94" i="1" a="1"/>
  <c r="J98" i="1" a="1"/>
  <c r="J23" i="1" a="1"/>
  <c r="J35" i="1" a="1"/>
  <c r="J39" i="1" a="1"/>
  <c r="J43" i="1" a="1"/>
  <c r="J47" i="1" a="1"/>
  <c r="J51" i="1" a="1"/>
  <c r="J63" i="1" a="1"/>
  <c r="J71" i="1" a="1"/>
  <c r="J83" i="1" a="1"/>
  <c r="J95" i="1" a="1"/>
  <c r="J80" i="1" a="1"/>
  <c r="J27" i="1" a="1"/>
  <c r="J67" i="1" a="1"/>
  <c r="J91" i="1" a="1"/>
  <c r="J92" i="1" a="1"/>
  <c r="L64" i="1" a="1"/>
  <c r="N65" i="1" a="1"/>
  <c r="N64" i="1" a="1"/>
  <c r="L65" i="1" a="1"/>
  <c r="N56" i="1" a="1"/>
  <c r="N60" i="1" a="1"/>
  <c r="N61" i="1" a="1"/>
  <c r="N57" i="1" a="1"/>
  <c r="N58" i="1" a="1"/>
  <c r="N62" i="1" a="1"/>
  <c r="N59" i="1" a="1"/>
  <c r="N63" i="1" a="1"/>
  <c r="N55" i="1" a="1"/>
  <c r="L55" i="1" a="1"/>
  <c r="L59" i="1" a="1"/>
  <c r="L63" i="1" a="1"/>
  <c r="L56" i="1" a="1"/>
  <c r="L60" i="1" a="1"/>
  <c r="L57" i="1" a="1"/>
  <c r="L61" i="1" a="1"/>
  <c r="L58" i="1" a="1"/>
  <c r="L62" i="1" a="1"/>
  <c r="N48" i="1" a="1"/>
  <c r="N51" i="1" a="1"/>
  <c r="N54" i="1" a="1"/>
  <c r="N49" i="1" a="1"/>
  <c r="N53" i="1" a="1"/>
  <c r="N52" i="1" a="1"/>
  <c r="N46" i="1" a="1"/>
  <c r="N44" i="1" a="1"/>
  <c r="N45" i="1" a="1"/>
  <c r="N47" i="1" a="1"/>
  <c r="N14" i="1" a="1"/>
  <c r="N42" i="1" a="1"/>
  <c r="N31" i="1" a="1"/>
  <c r="N43" i="1" a="1"/>
  <c r="N29" i="1" a="1"/>
  <c r="N6" i="1" a="1"/>
  <c r="N10" i="1" a="1"/>
  <c r="N18" i="1" a="1"/>
  <c r="N22" i="1" a="1"/>
  <c r="N26" i="1" a="1"/>
  <c r="N30" i="1" a="1"/>
  <c r="N34" i="1" a="1"/>
  <c r="N38" i="1" a="1"/>
  <c r="N35" i="1" a="1"/>
  <c r="N13" i="1" a="1"/>
  <c r="N7" i="1" a="1"/>
  <c r="N11" i="1" a="1"/>
  <c r="N15" i="1" a="1"/>
  <c r="N19" i="1" a="1"/>
  <c r="N23" i="1" a="1"/>
  <c r="N27" i="1" a="1"/>
  <c r="N39" i="1" a="1"/>
  <c r="N25" i="1" a="1"/>
  <c r="N41" i="1" a="1"/>
  <c r="N28" i="1" a="1"/>
  <c r="N5" i="1" a="1"/>
  <c r="N21" i="1" a="1"/>
  <c r="N37" i="1" a="1"/>
  <c r="N8" i="1" a="1"/>
  <c r="N12" i="1" a="1"/>
  <c r="N16" i="1" a="1"/>
  <c r="N20" i="1" a="1"/>
  <c r="N24" i="1" a="1"/>
  <c r="N32" i="1" a="1"/>
  <c r="N36" i="1" a="1"/>
  <c r="N40" i="1" a="1"/>
  <c r="N9" i="1" a="1"/>
  <c r="N17" i="1" a="1"/>
  <c r="N33" i="1" a="1"/>
  <c r="N4" i="1" a="1"/>
  <c r="L48" i="1" a="1"/>
  <c r="L52" i="1" a="1"/>
  <c r="L49" i="1" a="1"/>
  <c r="L53" i="1" a="1"/>
  <c r="L50" i="1" a="1"/>
  <c r="L54" i="1" a="1"/>
  <c r="L51" i="1" a="1"/>
  <c r="I47" i="1" a="1"/>
  <c r="I51" i="1" a="1"/>
  <c r="I55" i="1" a="1"/>
  <c r="I59" i="1" a="1"/>
  <c r="I63" i="1" a="1"/>
  <c r="I67" i="1" a="1"/>
  <c r="I71" i="1" a="1"/>
  <c r="I68" i="1" a="1"/>
  <c r="I58" i="1" a="1"/>
  <c r="I44" i="1" a="1"/>
  <c r="I48" i="1" a="1"/>
  <c r="I52" i="1" a="1"/>
  <c r="I56" i="1" a="1"/>
  <c r="I60" i="1" a="1"/>
  <c r="I64" i="1" a="1"/>
  <c r="I72" i="1" a="1"/>
  <c r="I50" i="1" a="1"/>
  <c r="I62" i="1" a="1"/>
  <c r="I70" i="1" a="1"/>
  <c r="I45" i="1" a="1"/>
  <c r="I49" i="1" a="1"/>
  <c r="I53" i="1" a="1"/>
  <c r="I57" i="1" a="1"/>
  <c r="I61" i="1" a="1"/>
  <c r="I65" i="1" a="1"/>
  <c r="I69" i="1" a="1"/>
  <c r="I46" i="1" a="1"/>
  <c r="I54" i="1" a="1"/>
  <c r="I66" i="1" a="1"/>
  <c r="I12" i="1" a="1"/>
  <c r="I6" i="1" a="1"/>
  <c r="I14" i="1" a="1"/>
  <c r="I18" i="1" a="1"/>
  <c r="I22" i="1" a="1"/>
  <c r="I26" i="1" a="1"/>
  <c r="I30" i="1" a="1"/>
  <c r="I34" i="1" a="1"/>
  <c r="I10" i="1" a="1"/>
  <c r="I31" i="1" a="1"/>
  <c r="I8" i="1" a="1"/>
  <c r="I16" i="1" a="1"/>
  <c r="I28" i="1" a="1"/>
  <c r="I32" i="1" a="1"/>
  <c r="I5" i="1" a="1"/>
  <c r="I13" i="1" a="1"/>
  <c r="I17" i="1" a="1"/>
  <c r="I25" i="1" a="1"/>
  <c r="I33" i="1" a="1"/>
  <c r="I7" i="1" a="1"/>
  <c r="I11" i="1" a="1"/>
  <c r="I15" i="1" a="1"/>
  <c r="I19" i="1" a="1"/>
  <c r="I23" i="1" a="1"/>
  <c r="I27" i="1" a="1"/>
  <c r="I35" i="1" a="1"/>
  <c r="I4" i="1" a="1"/>
  <c r="I20" i="1" a="1"/>
  <c r="I24" i="1" a="1"/>
  <c r="I36" i="1" a="1"/>
  <c r="I9" i="1" a="1"/>
  <c r="I21" i="1" a="1"/>
  <c r="I29" i="1" a="1"/>
  <c r="L37" i="1" a="1"/>
  <c r="L45" i="1" a="1"/>
  <c r="L40" i="1" a="1"/>
  <c r="L43" i="1" a="1"/>
  <c r="L38" i="1" a="1"/>
  <c r="L46" i="1" a="1"/>
  <c r="L41" i="1" a="1"/>
  <c r="L44" i="1" a="1"/>
  <c r="L39" i="1" a="1"/>
  <c r="L47" i="1" a="1"/>
  <c r="L42" i="1" a="1"/>
  <c r="L31" i="1" a="1"/>
  <c r="L30" i="1" a="1"/>
  <c r="L34" i="1" a="1"/>
  <c r="L36" i="1" a="1"/>
  <c r="L28" i="1" a="1"/>
  <c r="L33" i="1" a="1"/>
  <c r="L35" i="1" a="1"/>
  <c r="L27" i="1" a="1"/>
  <c r="L32" i="1" a="1"/>
  <c r="L29" i="1" a="1"/>
  <c r="L26" i="1" a="1"/>
  <c r="L23" i="1" a="1"/>
  <c r="L24" i="1" a="1"/>
  <c r="L25" i="1" a="1"/>
  <c r="L21" i="1" a="1"/>
  <c r="L22" i="1" a="1"/>
  <c r="L16" i="1" a="1"/>
  <c r="L19" i="1" a="1"/>
  <c r="L17" i="1" a="1"/>
  <c r="L15" i="1" a="1"/>
  <c r="L20" i="1" a="1"/>
  <c r="L18" i="1" a="1"/>
  <c r="L7" i="1" a="1"/>
  <c r="L11" i="1" a="1"/>
  <c r="L14" i="1" a="1"/>
  <c r="L12" i="1" a="1"/>
  <c r="L9" i="1" a="1"/>
  <c r="L6" i="1" a="1"/>
  <c r="L8" i="1" a="1"/>
  <c r="L5" i="1" a="1"/>
  <c r="L13" i="1" a="1"/>
  <c r="L10" i="1" a="1"/>
  <c r="L4" i="1" a="1"/>
  <c r="J15" i="1" a="1"/>
  <c r="J6" i="1" a="1"/>
  <c r="J10" i="1" a="1"/>
  <c r="J14" i="1" a="1"/>
  <c r="J18" i="1" a="1"/>
  <c r="J22" i="1" a="1"/>
  <c r="J7" i="1" a="1"/>
  <c r="J11" i="1" a="1"/>
  <c r="J19" i="1" a="1"/>
  <c r="J8" i="1" a="1"/>
  <c r="J12" i="1" a="1"/>
  <c r="J16" i="1" a="1"/>
  <c r="J20" i="1" a="1"/>
  <c r="J5" i="1" a="1"/>
  <c r="J9" i="1" a="1"/>
  <c r="J13" i="1" a="1"/>
  <c r="J17" i="1" a="1"/>
  <c r="J21" i="1" a="1"/>
  <c r="J4" i="1" a="1"/>
  <c r="J92" i="1" l="1"/>
  <c r="J91" i="1"/>
  <c r="J67" i="1"/>
  <c r="J27" i="1"/>
  <c r="J80" i="1"/>
  <c r="J95" i="1"/>
  <c r="J83" i="1"/>
  <c r="J71" i="1"/>
  <c r="J63" i="1"/>
  <c r="J51" i="1"/>
  <c r="J47" i="1"/>
  <c r="J43" i="1"/>
  <c r="J39" i="1"/>
  <c r="J35" i="1"/>
  <c r="J23" i="1"/>
  <c r="J98" i="1"/>
  <c r="J94" i="1"/>
  <c r="J90" i="1"/>
  <c r="J86" i="1"/>
  <c r="J82" i="1"/>
  <c r="J78" i="1"/>
  <c r="J74" i="1"/>
  <c r="J70" i="1"/>
  <c r="J66" i="1"/>
  <c r="J62" i="1"/>
  <c r="J58" i="1"/>
  <c r="J54" i="1"/>
  <c r="J50" i="1"/>
  <c r="J46" i="1"/>
  <c r="J42" i="1"/>
  <c r="J38" i="1"/>
  <c r="J34" i="1"/>
  <c r="J30" i="1"/>
  <c r="J26" i="1"/>
  <c r="J100" i="1"/>
  <c r="J84" i="1"/>
  <c r="J99" i="1"/>
  <c r="J79" i="1"/>
  <c r="J59" i="1"/>
  <c r="J97" i="1"/>
  <c r="J89" i="1"/>
  <c r="J85" i="1"/>
  <c r="J81" i="1"/>
  <c r="J77" i="1"/>
  <c r="J73" i="1"/>
  <c r="J69" i="1"/>
  <c r="J65" i="1"/>
  <c r="J61" i="1"/>
  <c r="J57" i="1"/>
  <c r="J53" i="1"/>
  <c r="J49" i="1"/>
  <c r="J45" i="1"/>
  <c r="J41" i="1"/>
  <c r="J37" i="1"/>
  <c r="J33" i="1"/>
  <c r="J29" i="1"/>
  <c r="J25" i="1"/>
  <c r="J76" i="1"/>
  <c r="J87" i="1"/>
  <c r="J75" i="1"/>
  <c r="J55" i="1"/>
  <c r="J93" i="1"/>
  <c r="J96" i="1"/>
  <c r="J88" i="1"/>
  <c r="J72" i="1"/>
  <c r="J68" i="1"/>
  <c r="J64" i="1"/>
  <c r="J60" i="1"/>
  <c r="J56" i="1"/>
  <c r="J52" i="1"/>
  <c r="J48" i="1"/>
  <c r="J44" i="1"/>
  <c r="J40" i="1"/>
  <c r="J36" i="1"/>
  <c r="J32" i="1"/>
  <c r="J28" i="1"/>
  <c r="J24" i="1"/>
  <c r="L65" i="1"/>
  <c r="N64" i="1"/>
  <c r="N65" i="1"/>
  <c r="L64" i="1"/>
  <c r="N55" i="1"/>
  <c r="N63" i="1"/>
  <c r="N59" i="1"/>
  <c r="N62" i="1"/>
  <c r="N58" i="1"/>
  <c r="N57" i="1"/>
  <c r="N61" i="1"/>
  <c r="N60" i="1"/>
  <c r="N56" i="1"/>
  <c r="L62" i="1"/>
  <c r="L58" i="1"/>
  <c r="L61" i="1"/>
  <c r="L57" i="1"/>
  <c r="L60" i="1"/>
  <c r="L56" i="1"/>
  <c r="L63" i="1"/>
  <c r="L59" i="1"/>
  <c r="L55" i="1"/>
  <c r="N52" i="1"/>
  <c r="N53" i="1"/>
  <c r="N49" i="1"/>
  <c r="N54" i="1"/>
  <c r="N51" i="1"/>
  <c r="N48" i="1"/>
  <c r="N46" i="1"/>
  <c r="N47" i="1"/>
  <c r="N45" i="1"/>
  <c r="N44" i="1"/>
  <c r="N33" i="1"/>
  <c r="N17" i="1"/>
  <c r="N9" i="1"/>
  <c r="N40" i="1"/>
  <c r="N36" i="1"/>
  <c r="N32" i="1"/>
  <c r="N24" i="1"/>
  <c r="N20" i="1"/>
  <c r="N16" i="1"/>
  <c r="N12" i="1"/>
  <c r="N8" i="1"/>
  <c r="N37" i="1"/>
  <c r="N21" i="1"/>
  <c r="N5" i="1"/>
  <c r="N28" i="1"/>
  <c r="N41" i="1"/>
  <c r="N25" i="1"/>
  <c r="N39" i="1"/>
  <c r="N27" i="1"/>
  <c r="N23" i="1"/>
  <c r="N19" i="1"/>
  <c r="N15" i="1"/>
  <c r="N11" i="1"/>
  <c r="N7" i="1"/>
  <c r="N13" i="1"/>
  <c r="N35" i="1"/>
  <c r="N38" i="1"/>
  <c r="N34" i="1"/>
  <c r="N30" i="1"/>
  <c r="N26" i="1"/>
  <c r="N22" i="1"/>
  <c r="N18" i="1"/>
  <c r="N10" i="1"/>
  <c r="N6" i="1"/>
  <c r="N29" i="1"/>
  <c r="N43" i="1"/>
  <c r="N31" i="1"/>
  <c r="N42" i="1"/>
  <c r="N14" i="1"/>
  <c r="N4" i="1"/>
  <c r="L51" i="1"/>
  <c r="L54" i="1"/>
  <c r="L50" i="1"/>
  <c r="L53" i="1"/>
  <c r="L49" i="1"/>
  <c r="L52" i="1"/>
  <c r="L48" i="1"/>
  <c r="I66" i="1"/>
  <c r="I54" i="1"/>
  <c r="I46" i="1"/>
  <c r="I69" i="1"/>
  <c r="I65" i="1"/>
  <c r="I61" i="1"/>
  <c r="I57" i="1"/>
  <c r="I53" i="1"/>
  <c r="I49" i="1"/>
  <c r="I45" i="1"/>
  <c r="I70" i="1"/>
  <c r="I62" i="1"/>
  <c r="I50" i="1"/>
  <c r="I72" i="1"/>
  <c r="I64" i="1"/>
  <c r="I60" i="1"/>
  <c r="I56" i="1"/>
  <c r="I52" i="1"/>
  <c r="I48" i="1"/>
  <c r="I44" i="1"/>
  <c r="I58" i="1"/>
  <c r="I68" i="1"/>
  <c r="I71" i="1"/>
  <c r="I67" i="1"/>
  <c r="I63" i="1"/>
  <c r="I59" i="1"/>
  <c r="I55" i="1"/>
  <c r="I51" i="1"/>
  <c r="I47" i="1"/>
  <c r="I29" i="1"/>
  <c r="I21" i="1"/>
  <c r="I9" i="1"/>
  <c r="I36" i="1"/>
  <c r="I24" i="1"/>
  <c r="I20" i="1"/>
  <c r="I4" i="1"/>
  <c r="I35" i="1"/>
  <c r="I27" i="1"/>
  <c r="I23" i="1"/>
  <c r="I19" i="1"/>
  <c r="I15" i="1"/>
  <c r="I11" i="1"/>
  <c r="I7" i="1"/>
  <c r="I33" i="1"/>
  <c r="I25" i="1"/>
  <c r="I17" i="1"/>
  <c r="I13" i="1"/>
  <c r="I5" i="1"/>
  <c r="I32" i="1"/>
  <c r="I28" i="1"/>
  <c r="I16" i="1"/>
  <c r="I8" i="1"/>
  <c r="I31" i="1"/>
  <c r="I10" i="1"/>
  <c r="I34" i="1"/>
  <c r="I30" i="1"/>
  <c r="I26" i="1"/>
  <c r="I22" i="1"/>
  <c r="I18" i="1"/>
  <c r="I14" i="1"/>
  <c r="I6" i="1"/>
  <c r="I12" i="1"/>
  <c r="L42" i="1"/>
  <c r="L47" i="1"/>
  <c r="L39" i="1"/>
  <c r="L44" i="1"/>
  <c r="L41" i="1"/>
  <c r="L46" i="1"/>
  <c r="L38" i="1"/>
  <c r="L43" i="1"/>
  <c r="L40" i="1"/>
  <c r="L45" i="1"/>
  <c r="L37" i="1"/>
  <c r="L26" i="1"/>
  <c r="L29" i="1"/>
  <c r="L32" i="1"/>
  <c r="L27" i="1"/>
  <c r="L35" i="1"/>
  <c r="L33" i="1"/>
  <c r="L28" i="1"/>
  <c r="L36" i="1"/>
  <c r="L34" i="1"/>
  <c r="L30" i="1"/>
  <c r="L31" i="1"/>
  <c r="L25" i="1"/>
  <c r="L24" i="1"/>
  <c r="L23" i="1"/>
  <c r="L18" i="1"/>
  <c r="L20" i="1"/>
  <c r="L15" i="1"/>
  <c r="L17" i="1"/>
  <c r="L19" i="1"/>
  <c r="L16" i="1"/>
  <c r="L22" i="1"/>
  <c r="L21" i="1"/>
  <c r="L10" i="1"/>
  <c r="L13" i="1"/>
  <c r="L5" i="1"/>
  <c r="L8" i="1"/>
  <c r="L6" i="1"/>
  <c r="L9" i="1"/>
  <c r="L12" i="1"/>
  <c r="L14" i="1"/>
  <c r="L11" i="1"/>
  <c r="L7" i="1"/>
  <c r="L4" i="1"/>
  <c r="J21" i="1"/>
  <c r="J17" i="1"/>
  <c r="J13" i="1"/>
  <c r="J9" i="1"/>
  <c r="J5" i="1"/>
  <c r="J20" i="1"/>
  <c r="J16" i="1"/>
  <c r="J12" i="1"/>
  <c r="J8" i="1"/>
  <c r="J19" i="1"/>
  <c r="J11" i="1"/>
  <c r="J7" i="1"/>
  <c r="J22" i="1"/>
  <c r="J18" i="1"/>
  <c r="J14" i="1"/>
  <c r="J10" i="1"/>
  <c r="J6" i="1"/>
  <c r="J15" i="1"/>
  <c r="J4" i="1"/>
  <c r="I40" i="1" a="1"/>
  <c r="I37" i="1" a="1"/>
  <c r="I41" i="1" a="1"/>
  <c r="I42" i="1" a="1"/>
  <c r="I38" i="1" a="1"/>
  <c r="I39" i="1" a="1"/>
  <c r="I43" i="1" a="1"/>
  <c r="I43" i="1" l="1"/>
  <c r="I39" i="1"/>
  <c r="I38" i="1"/>
  <c r="I42" i="1"/>
  <c r="I41" i="1"/>
  <c r="I37" i="1"/>
  <c r="I4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<sst xmlns="http://schemas.openxmlformats.org/spreadsheetml/2006/main" count="36" uniqueCount="24">
  <si>
    <t>Points</t>
  </si>
  <si>
    <t>Soak</t>
  </si>
  <si>
    <t>Assured</t>
  </si>
  <si>
    <t>t_2900</t>
  </si>
  <si>
    <t>fp_2900</t>
  </si>
  <si>
    <t>Q_2900</t>
  </si>
  <si>
    <t>HG2900.set_ts</t>
  </si>
  <si>
    <t>HG2900.set_fp</t>
  </si>
  <si>
    <t>HG2900.set_q</t>
  </si>
  <si>
    <t>T</t>
  </si>
  <si>
    <t>PC200.SS</t>
  </si>
  <si>
    <t>td_e_h_desired</t>
  </si>
  <si>
    <t>delTd</t>
  </si>
  <si>
    <t>h_ice</t>
  </si>
  <si>
    <t>h_w_desired</t>
  </si>
  <si>
    <t>h_2900_exh_extT</t>
  </si>
  <si>
    <t>aH96140261_MI70_biotec_K3650019_h_exh</t>
  </si>
  <si>
    <t>rh_2900</t>
  </si>
  <si>
    <t>HG2900.set_rh</t>
  </si>
  <si>
    <t>newT</t>
  </si>
  <si>
    <t>high RH</t>
  </si>
  <si>
    <t>new T</t>
  </si>
  <si>
    <t>newT2900</t>
  </si>
  <si>
    <t>h_w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</si>
</sst>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"/>
    <numFmt numFmtId="166" formatCode="0.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5" fontId="0" fillId="0" borderId="0" xfId="0" applyNumberFormat="1"/>
    <xf numFmtId="2" fontId="0" fillId="0" borderId="0" xfId="0" applyNumberFormat="1"/>
    <xf numFmtId="166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33A38-82E3-45DA-8B1D-CC1BDB3668DD}">
  <sheetPr codeName="Sheet1"/>
  <dimension ref="A1:W124"/>
  <sheetViews>
    <sheetView tabSelected="1" workbookViewId="0">
      <pane ySplit="3" topLeftCell="A4" activePane="bottomLeft" state="frozen"/>
      <selection pane="bottomLeft" activeCell="G65" sqref="A1:G65"/>
    </sheetView>
  </sheetViews>
  <sheetFormatPr defaultRowHeight="15" x14ac:dyDescent="0.25"/>
  <sheetData>
    <row r="1" spans="1:23" x14ac:dyDescent="0.25">
      <c r="A1" t="s">
        <v>16</v>
      </c>
      <c r="Q1" t="s">
        <v>16</v>
      </c>
    </row>
    <row r="2" spans="1:23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9</v>
      </c>
      <c r="Q2" t="s">
        <v>0</v>
      </c>
      <c r="R2" t="s">
        <v>1</v>
      </c>
      <c r="S2" t="s">
        <v>2</v>
      </c>
      <c r="T2" t="s">
        <v>3</v>
      </c>
      <c r="U2" t="s">
        <v>17</v>
      </c>
      <c r="V2" t="s">
        <v>5</v>
      </c>
      <c r="W2" t="s">
        <v>9</v>
      </c>
    </row>
    <row r="3" spans="1:23" x14ac:dyDescent="0.25">
      <c r="D3" t="s">
        <v>6</v>
      </c>
      <c r="E3" t="s">
        <v>7</v>
      </c>
      <c r="F3" t="s">
        <v>8</v>
      </c>
      <c r="G3" t="s">
        <v>10</v>
      </c>
      <c r="I3" t="s">
        <v>13</v>
      </c>
      <c r="J3" t="s">
        <v>23</v>
      </c>
      <c r="K3" t="s">
        <v>14</v>
      </c>
      <c r="L3" t="s">
        <v>11</v>
      </c>
      <c r="M3" t="s">
        <v>12</v>
      </c>
      <c r="N3" t="s">
        <v>15</v>
      </c>
      <c r="T3" t="s">
        <v>6</v>
      </c>
      <c r="U3" t="s">
        <v>18</v>
      </c>
      <c r="V3" t="s">
        <v>8</v>
      </c>
      <c r="W3" t="s">
        <v>10</v>
      </c>
    </row>
    <row r="4" spans="1:23" x14ac:dyDescent="0.25">
      <c r="A4">
        <v>1</v>
      </c>
      <c r="B4">
        <v>300</v>
      </c>
      <c r="C4">
        <v>0</v>
      </c>
      <c r="D4">
        <v>22</v>
      </c>
      <c r="E4">
        <v>-3.206</v>
      </c>
      <c r="F4">
        <v>20</v>
      </c>
      <c r="G4">
        <v>20</v>
      </c>
      <c r="I4" s="3" cm="1">
        <f t="array" ref="I4">h_ex_td(E4,G4,101325,101325,0,0)</f>
        <v>20.000164803434668</v>
      </c>
      <c r="J4" s="2" cm="1">
        <f t="array" ref="J4">h_ex_td(E4,G4,101325,101325,0,1)</f>
        <v>20.000164803434668</v>
      </c>
      <c r="K4">
        <v>20</v>
      </c>
      <c r="L4" s="1" cm="1">
        <f t="array" ref="L4">td_ex_h(K4,G4,101325,101325,1,0)</f>
        <v>-3.2060976975975688</v>
      </c>
      <c r="M4" s="3">
        <f>J4-K4</f>
        <v>1.6480343466795944E-4</v>
      </c>
      <c r="N4" s="2" cm="1">
        <f t="array" ref="N4">h2exh1(K4,G4,D4,101325,101325,1)</f>
        <v>17.685424910133076</v>
      </c>
      <c r="O4">
        <v>1</v>
      </c>
      <c r="Q4">
        <v>1</v>
      </c>
      <c r="R4">
        <v>300</v>
      </c>
      <c r="S4">
        <v>0</v>
      </c>
      <c r="T4">
        <v>22</v>
      </c>
      <c r="U4" s="1">
        <v>17.685424910133076</v>
      </c>
      <c r="V4">
        <v>20</v>
      </c>
      <c r="W4">
        <v>20</v>
      </c>
    </row>
    <row r="5" spans="1:23" x14ac:dyDescent="0.25">
      <c r="A5">
        <v>2</v>
      </c>
      <c r="B5">
        <v>80</v>
      </c>
      <c r="C5">
        <v>0</v>
      </c>
      <c r="D5">
        <v>22</v>
      </c>
      <c r="E5">
        <v>4.093</v>
      </c>
      <c r="F5">
        <v>20</v>
      </c>
      <c r="G5">
        <v>20</v>
      </c>
      <c r="I5" s="3" cm="1">
        <f t="array" ref="I5">h_ex_td(E5,G5,101325,101325,0,0)</f>
        <v>35.000630703949341</v>
      </c>
      <c r="J5" s="2" cm="1">
        <f t="array" ref="J5">h_ex_td(E5,G5,101325,101325,0,1)</f>
        <v>35.000630703949341</v>
      </c>
      <c r="K5">
        <v>35</v>
      </c>
      <c r="L5" s="1" cm="1">
        <f t="array" ref="L5">td_ex_h(K5,G5,101325,101325,1,0)</f>
        <v>4.0927435468451794</v>
      </c>
      <c r="M5" s="3">
        <f t="shared" ref="M5:M65" si="0">J5-K5</f>
        <v>6.3070394934072738E-4</v>
      </c>
      <c r="N5" s="2" cm="1">
        <f t="array" ref="N5">h2exh1(K5,G5,D5,101325,101325,1)</f>
        <v>30.949493592732885</v>
      </c>
      <c r="O5">
        <v>1</v>
      </c>
      <c r="Q5">
        <v>2</v>
      </c>
      <c r="R5">
        <v>80</v>
      </c>
      <c r="S5">
        <v>0</v>
      </c>
      <c r="T5">
        <v>22</v>
      </c>
      <c r="U5" s="1">
        <v>30.949493592732885</v>
      </c>
      <c r="V5">
        <v>20</v>
      </c>
      <c r="W5">
        <v>20</v>
      </c>
    </row>
    <row r="6" spans="1:23" x14ac:dyDescent="0.25">
      <c r="A6">
        <v>3</v>
      </c>
      <c r="B6">
        <v>80</v>
      </c>
      <c r="C6">
        <v>0</v>
      </c>
      <c r="D6">
        <v>22</v>
      </c>
      <c r="E6">
        <v>9.2750000000000004</v>
      </c>
      <c r="F6">
        <v>20</v>
      </c>
      <c r="G6">
        <v>20</v>
      </c>
      <c r="I6" s="3" cm="1">
        <f t="array" ref="I6">h_ex_td(E6,G6,101325,101325,0,0)</f>
        <v>49.998341835079607</v>
      </c>
      <c r="J6" s="2" cm="1">
        <f t="array" ref="J6">h_ex_td(E6,G6,101325,101325,0,1)</f>
        <v>49.998341835079607</v>
      </c>
      <c r="K6">
        <v>50</v>
      </c>
      <c r="L6" s="1" cm="1">
        <f t="array" ref="L6">td_ex_h(K6,G6,101325,101325,1,0)</f>
        <v>9.2754920374502525</v>
      </c>
      <c r="M6" s="3">
        <f t="shared" si="0"/>
        <v>-1.658164920392835E-3</v>
      </c>
      <c r="N6" s="2" cm="1">
        <f t="array" ref="N6">h2exh1(K6,G6,D6,101325,101325,1)</f>
        <v>44.213562275332691</v>
      </c>
      <c r="O6">
        <v>1</v>
      </c>
      <c r="Q6">
        <v>3</v>
      </c>
      <c r="R6">
        <v>80</v>
      </c>
      <c r="S6">
        <v>0</v>
      </c>
      <c r="T6">
        <v>22</v>
      </c>
      <c r="U6" s="1">
        <v>44.213562275332691</v>
      </c>
      <c r="V6">
        <v>20</v>
      </c>
      <c r="W6">
        <v>20</v>
      </c>
    </row>
    <row r="7" spans="1:23" x14ac:dyDescent="0.25">
      <c r="A7">
        <v>4</v>
      </c>
      <c r="B7">
        <v>80</v>
      </c>
      <c r="C7">
        <v>0</v>
      </c>
      <c r="D7">
        <v>22</v>
      </c>
      <c r="E7">
        <v>13.228999999999999</v>
      </c>
      <c r="F7">
        <v>20</v>
      </c>
      <c r="G7">
        <v>20</v>
      </c>
      <c r="I7" s="3" cm="1">
        <f t="array" ref="I7">h_ex_td(E7,G7,101325,101325,0,0)</f>
        <v>64.998061728021867</v>
      </c>
      <c r="J7" s="2" cm="1">
        <f t="array" ref="J7">h_ex_td(E7,G7,101325,101325,0,1)</f>
        <v>64.998061728021867</v>
      </c>
      <c r="K7">
        <v>65</v>
      </c>
      <c r="L7" s="1" cm="1">
        <f t="array" ref="L7">td_ex_h(K7,G7,101325,101325,1,0)</f>
        <v>13.229456495261477</v>
      </c>
      <c r="M7" s="3">
        <f t="shared" si="0"/>
        <v>-1.9382719781333435E-3</v>
      </c>
      <c r="N7" s="2" cm="1">
        <f t="array" ref="N7">h2exh1(K7,G7,D7,101325,101325,1)</f>
        <v>57.477630957932504</v>
      </c>
      <c r="O7">
        <v>1</v>
      </c>
      <c r="Q7">
        <v>4</v>
      </c>
      <c r="R7">
        <v>80</v>
      </c>
      <c r="S7">
        <v>0</v>
      </c>
      <c r="T7">
        <v>22</v>
      </c>
      <c r="U7" s="1">
        <v>57.477630957932504</v>
      </c>
      <c r="V7">
        <v>20</v>
      </c>
      <c r="W7">
        <v>20</v>
      </c>
    </row>
    <row r="8" spans="1:23" x14ac:dyDescent="0.25">
      <c r="A8">
        <v>5</v>
      </c>
      <c r="B8">
        <v>80</v>
      </c>
      <c r="C8">
        <v>0</v>
      </c>
      <c r="D8">
        <v>22</v>
      </c>
      <c r="E8">
        <v>16.448</v>
      </c>
      <c r="F8">
        <v>20</v>
      </c>
      <c r="G8">
        <v>20</v>
      </c>
      <c r="I8" s="3" cm="1">
        <f t="array" ref="I8">h_ex_td(E8,G8,101325,101325,0,0)</f>
        <v>79.998146269367993</v>
      </c>
      <c r="J8" s="2" cm="1">
        <f t="array" ref="J8">h_ex_td(E8,G8,101325,101325,0,1)</f>
        <v>79.998146269367993</v>
      </c>
      <c r="K8">
        <v>80</v>
      </c>
      <c r="L8" s="1" cm="1">
        <f t="array" ref="L8">td_ex_h(K8,G8,101325,101325,1,0)</f>
        <v>16.448363775850655</v>
      </c>
      <c r="M8" s="3">
        <f t="shared" si="0"/>
        <v>-1.8537306320070002E-3</v>
      </c>
      <c r="N8" s="2" cm="1">
        <f t="array" ref="N8">h2exh1(K8,G8,D8,101325,101325,1)</f>
        <v>70.741699640532303</v>
      </c>
      <c r="O8">
        <v>1</v>
      </c>
      <c r="Q8">
        <v>5</v>
      </c>
      <c r="R8">
        <v>80</v>
      </c>
      <c r="S8">
        <v>0</v>
      </c>
      <c r="T8">
        <v>22</v>
      </c>
      <c r="U8" s="1">
        <v>70.741699640532303</v>
      </c>
      <c r="V8">
        <v>20</v>
      </c>
      <c r="W8">
        <v>20</v>
      </c>
    </row>
    <row r="9" spans="1:23" x14ac:dyDescent="0.25">
      <c r="A9">
        <v>6</v>
      </c>
      <c r="B9">
        <v>90</v>
      </c>
      <c r="C9">
        <v>0</v>
      </c>
      <c r="D9">
        <v>22</v>
      </c>
      <c r="E9">
        <v>19.175000000000001</v>
      </c>
      <c r="F9">
        <v>10</v>
      </c>
      <c r="G9">
        <v>20</v>
      </c>
      <c r="I9" s="3" cm="1">
        <f t="array" ref="I9">h_ex_td(E9,G9,101325,101325,0,0)</f>
        <v>95.000510362603052</v>
      </c>
      <c r="J9" s="2" cm="1">
        <f t="array" ref="J9">h_ex_td(E9,G9,101325,101325,0,1)</f>
        <v>95.000510362603052</v>
      </c>
      <c r="K9">
        <v>95</v>
      </c>
      <c r="L9" s="1" cm="1">
        <f t="array" ref="L9">td_ex_h(K9,G9,101325,101325,1,0)</f>
        <v>19.174913858724395</v>
      </c>
      <c r="M9" s="3">
        <f t="shared" si="0"/>
        <v>5.1036260305181713E-4</v>
      </c>
      <c r="N9" s="2" cm="1">
        <f t="array" ref="N9">h2exh1(K9,G9,D9,101325,101325,1)</f>
        <v>84.005768323132116</v>
      </c>
      <c r="O9">
        <v>1</v>
      </c>
      <c r="Q9">
        <v>6</v>
      </c>
      <c r="R9">
        <v>90</v>
      </c>
      <c r="S9">
        <v>0</v>
      </c>
      <c r="T9">
        <v>22</v>
      </c>
      <c r="U9" s="1">
        <v>84.005768323132116</v>
      </c>
      <c r="V9">
        <v>10</v>
      </c>
      <c r="W9">
        <v>20</v>
      </c>
    </row>
    <row r="10" spans="1:23" x14ac:dyDescent="0.25">
      <c r="A10">
        <v>7</v>
      </c>
      <c r="B10">
        <v>80</v>
      </c>
      <c r="C10">
        <v>0</v>
      </c>
      <c r="D10">
        <v>22</v>
      </c>
      <c r="E10">
        <v>16.448</v>
      </c>
      <c r="F10">
        <v>20</v>
      </c>
      <c r="G10">
        <v>20</v>
      </c>
      <c r="I10" s="3" cm="1">
        <f t="array" ref="I10">h_ex_td(E10,G10,101325,101325,0,0)</f>
        <v>79.998146269367993</v>
      </c>
      <c r="J10" s="2" cm="1">
        <f t="array" ref="J10">h_ex_td(E10,G10,101325,101325,0,1)</f>
        <v>79.998146269367993</v>
      </c>
      <c r="K10">
        <v>80</v>
      </c>
      <c r="L10" s="1" cm="1">
        <f t="array" ref="L10">td_ex_h(K10,G10,101325,101325,1,0)</f>
        <v>16.448363775850655</v>
      </c>
      <c r="M10" s="3">
        <f t="shared" si="0"/>
        <v>-1.8537306320070002E-3</v>
      </c>
      <c r="N10" s="2" cm="1">
        <f t="array" ref="N10">h2exh1(K10,G10,D10,101325,101325,1)</f>
        <v>70.741699640532303</v>
      </c>
      <c r="O10">
        <v>1</v>
      </c>
      <c r="Q10">
        <v>7</v>
      </c>
      <c r="R10">
        <v>80</v>
      </c>
      <c r="S10">
        <v>0</v>
      </c>
      <c r="T10">
        <v>22</v>
      </c>
      <c r="U10" s="1">
        <v>70.741699640532303</v>
      </c>
      <c r="V10">
        <v>20</v>
      </c>
      <c r="W10">
        <v>20</v>
      </c>
    </row>
    <row r="11" spans="1:23" x14ac:dyDescent="0.25">
      <c r="A11">
        <v>8</v>
      </c>
      <c r="B11">
        <v>80</v>
      </c>
      <c r="C11">
        <v>0</v>
      </c>
      <c r="D11">
        <v>22</v>
      </c>
      <c r="E11">
        <v>13.228999999999999</v>
      </c>
      <c r="F11">
        <v>20</v>
      </c>
      <c r="G11">
        <v>20</v>
      </c>
      <c r="I11" s="3" cm="1">
        <f t="array" ref="I11">h_ex_td(E11,G11,101325,101325,0,0)</f>
        <v>64.998061728021867</v>
      </c>
      <c r="J11" s="2" cm="1">
        <f t="array" ref="J11">h_ex_td(E11,G11,101325,101325,0,1)</f>
        <v>64.998061728021867</v>
      </c>
      <c r="K11">
        <v>65</v>
      </c>
      <c r="L11" s="1" cm="1">
        <f t="array" ref="L11">td_ex_h(K11,G11,101325,101325,1,0)</f>
        <v>13.229456495261477</v>
      </c>
      <c r="M11" s="3">
        <f t="shared" si="0"/>
        <v>-1.9382719781333435E-3</v>
      </c>
      <c r="N11" s="2" cm="1">
        <f t="array" ref="N11">h2exh1(K11,G11,D11,101325,101325,1)</f>
        <v>57.477630957932504</v>
      </c>
      <c r="O11">
        <v>1</v>
      </c>
      <c r="Q11">
        <v>8</v>
      </c>
      <c r="R11">
        <v>80</v>
      </c>
      <c r="S11">
        <v>0</v>
      </c>
      <c r="T11">
        <v>22</v>
      </c>
      <c r="U11" s="1">
        <v>57.477630957932504</v>
      </c>
      <c r="V11">
        <v>20</v>
      </c>
      <c r="W11">
        <v>20</v>
      </c>
    </row>
    <row r="12" spans="1:23" x14ac:dyDescent="0.25">
      <c r="A12">
        <v>9</v>
      </c>
      <c r="B12">
        <v>80</v>
      </c>
      <c r="C12">
        <v>0</v>
      </c>
      <c r="D12">
        <v>22</v>
      </c>
      <c r="E12">
        <v>9.2750000000000004</v>
      </c>
      <c r="F12">
        <v>20</v>
      </c>
      <c r="G12">
        <v>20</v>
      </c>
      <c r="I12" s="3" cm="1">
        <f t="array" ref="I12">h_ex_td(E12,G12,101325,101325,0,0)</f>
        <v>49.998341835079607</v>
      </c>
      <c r="J12" s="2" cm="1">
        <f t="array" ref="J12">h_ex_td(E12,G12,101325,101325,0,1)</f>
        <v>49.998341835079607</v>
      </c>
      <c r="K12">
        <v>50</v>
      </c>
      <c r="L12" s="1" cm="1">
        <f t="array" ref="L12">td_ex_h(K12,G12,101325,101325,1,0)</f>
        <v>9.2754920374502525</v>
      </c>
      <c r="M12" s="3">
        <f t="shared" si="0"/>
        <v>-1.658164920392835E-3</v>
      </c>
      <c r="N12" s="2" cm="1">
        <f t="array" ref="N12">h2exh1(K12,G12,D12,101325,101325,1)</f>
        <v>44.213562275332691</v>
      </c>
      <c r="O12">
        <v>1</v>
      </c>
      <c r="Q12">
        <v>9</v>
      </c>
      <c r="R12">
        <v>80</v>
      </c>
      <c r="S12">
        <v>0</v>
      </c>
      <c r="T12">
        <v>22</v>
      </c>
      <c r="U12" s="1">
        <v>44.213562275332691</v>
      </c>
      <c r="V12">
        <v>20</v>
      </c>
      <c r="W12">
        <v>20</v>
      </c>
    </row>
    <row r="13" spans="1:23" x14ac:dyDescent="0.25">
      <c r="A13">
        <v>10</v>
      </c>
      <c r="B13">
        <v>80</v>
      </c>
      <c r="C13">
        <v>0</v>
      </c>
      <c r="D13">
        <v>22</v>
      </c>
      <c r="E13">
        <v>4.093</v>
      </c>
      <c r="F13">
        <v>20</v>
      </c>
      <c r="G13">
        <v>20</v>
      </c>
      <c r="I13" s="3" cm="1">
        <f t="array" ref="I13">h_ex_td(E13,G13,101325,101325,0,0)</f>
        <v>35.000630703949341</v>
      </c>
      <c r="J13" s="2" cm="1">
        <f t="array" ref="J13">h_ex_td(E13,G13,101325,101325,0,1)</f>
        <v>35.000630703949341</v>
      </c>
      <c r="K13">
        <v>35</v>
      </c>
      <c r="L13" s="1" cm="1">
        <f t="array" ref="L13">td_ex_h(K13,G13,101325,101325,1,0)</f>
        <v>4.0927435468451794</v>
      </c>
      <c r="M13" s="3">
        <f t="shared" si="0"/>
        <v>6.3070394934072738E-4</v>
      </c>
      <c r="N13" s="2" cm="1">
        <f t="array" ref="N13">h2exh1(K13,G13,D13,101325,101325,1)</f>
        <v>30.949493592732885</v>
      </c>
      <c r="O13">
        <v>1</v>
      </c>
      <c r="Q13">
        <v>10</v>
      </c>
      <c r="R13">
        <v>80</v>
      </c>
      <c r="S13">
        <v>0</v>
      </c>
      <c r="T13">
        <v>22</v>
      </c>
      <c r="U13" s="1">
        <v>30.949493592732885</v>
      </c>
      <c r="V13">
        <v>20</v>
      </c>
      <c r="W13">
        <v>20</v>
      </c>
    </row>
    <row r="14" spans="1:23" x14ac:dyDescent="0.25">
      <c r="A14">
        <v>11</v>
      </c>
      <c r="B14">
        <v>80</v>
      </c>
      <c r="C14">
        <v>0</v>
      </c>
      <c r="D14">
        <v>22</v>
      </c>
      <c r="E14">
        <v>-3.206</v>
      </c>
      <c r="F14">
        <v>20</v>
      </c>
      <c r="G14">
        <v>20</v>
      </c>
      <c r="I14" s="3" cm="1">
        <f t="array" ref="I14">h_ex_td(E14,G14,101325,101325,0,0)</f>
        <v>20.000164803434668</v>
      </c>
      <c r="J14" s="2" cm="1">
        <f t="array" ref="J14">h_ex_td(E14,G14,101325,101325,0,1)</f>
        <v>20.000164803434668</v>
      </c>
      <c r="K14">
        <v>20</v>
      </c>
      <c r="L14" s="1" cm="1">
        <f t="array" ref="L14">td_ex_h(K14,G14,101325,101325,1,0)</f>
        <v>-3.2060976975975688</v>
      </c>
      <c r="M14" s="3">
        <f t="shared" si="0"/>
        <v>1.6480343466795944E-4</v>
      </c>
      <c r="N14" s="2" cm="1">
        <f t="array" ref="N14">h2exh1(K14,G14,D14,101325,101325,1)</f>
        <v>17.685424910133076</v>
      </c>
      <c r="O14">
        <v>1</v>
      </c>
      <c r="Q14">
        <v>11</v>
      </c>
      <c r="R14">
        <v>80</v>
      </c>
      <c r="S14">
        <v>0</v>
      </c>
      <c r="T14">
        <v>22</v>
      </c>
      <c r="U14" s="1">
        <v>17.685424910133076</v>
      </c>
      <c r="V14">
        <v>20</v>
      </c>
      <c r="W14">
        <v>20</v>
      </c>
    </row>
    <row r="15" spans="1:23" x14ac:dyDescent="0.25">
      <c r="A15">
        <v>12</v>
      </c>
      <c r="B15">
        <v>300</v>
      </c>
      <c r="C15">
        <v>0</v>
      </c>
      <c r="D15">
        <v>2</v>
      </c>
      <c r="E15">
        <v>-18.231000000000002</v>
      </c>
      <c r="F15">
        <v>20</v>
      </c>
      <c r="G15">
        <v>0</v>
      </c>
      <c r="H15" t="s">
        <v>19</v>
      </c>
      <c r="I15" s="3" cm="1">
        <f t="array" ref="I15">h_ex_td(E15,G15,101325,101325,0,0)</f>
        <v>20.001181411581275</v>
      </c>
      <c r="J15" s="2" cm="1">
        <f t="array" ref="J15">h_ex_td(E15,G15,101325,101325,0,1)</f>
        <v>19.999245423873575</v>
      </c>
      <c r="K15">
        <v>20</v>
      </c>
      <c r="L15" s="1" cm="1">
        <f t="array" ref="L15">td_ex_h(K15,G15,101325,101325,1,0)</f>
        <v>-18.230600735851418</v>
      </c>
      <c r="M15" s="3">
        <f t="shared" si="0"/>
        <v>-7.5457612642537697E-4</v>
      </c>
      <c r="N15" s="2" cm="1">
        <f t="array" ref="N15">h2exh1(K15,G15,D15,101325,101325,1)</f>
        <v>17.315728983223917</v>
      </c>
      <c r="O15">
        <v>2</v>
      </c>
      <c r="Q15">
        <v>12</v>
      </c>
      <c r="R15">
        <v>300</v>
      </c>
      <c r="S15">
        <v>0</v>
      </c>
      <c r="T15">
        <v>2</v>
      </c>
      <c r="U15" s="1">
        <v>17.315728983223917</v>
      </c>
      <c r="V15">
        <v>20</v>
      </c>
      <c r="W15">
        <v>0</v>
      </c>
    </row>
    <row r="16" spans="1:23" x14ac:dyDescent="0.25">
      <c r="A16">
        <v>13</v>
      </c>
      <c r="B16">
        <v>80</v>
      </c>
      <c r="C16">
        <v>0</v>
      </c>
      <c r="D16">
        <v>2</v>
      </c>
      <c r="E16">
        <v>-12.175000000000001</v>
      </c>
      <c r="F16">
        <v>20</v>
      </c>
      <c r="G16">
        <v>0</v>
      </c>
      <c r="I16" s="3" cm="1">
        <f t="array" ref="I16">h_ex_td(E16,G16,101325,101325,0,0)</f>
        <v>35.004585716385634</v>
      </c>
      <c r="J16" s="2" cm="1">
        <f t="array" ref="J16">h_ex_td(E16,G16,101325,101325,0,1)</f>
        <v>35.001197494146872</v>
      </c>
      <c r="K16">
        <v>35</v>
      </c>
      <c r="L16" s="1" cm="1">
        <f t="array" ref="L16">td_ex_h(K16,G16,101325,101325,1,0)</f>
        <v>-12.175378906092927</v>
      </c>
      <c r="M16" s="3">
        <f t="shared" si="0"/>
        <v>1.1974941468722022E-3</v>
      </c>
      <c r="N16" s="2" cm="1">
        <f t="array" ref="N16">h2exh1(K16,G16,D16,101325,101325,1)</f>
        <v>30.302525720641853</v>
      </c>
      <c r="O16">
        <v>2</v>
      </c>
      <c r="Q16">
        <v>13</v>
      </c>
      <c r="R16">
        <v>80</v>
      </c>
      <c r="S16">
        <v>0</v>
      </c>
      <c r="T16">
        <v>2</v>
      </c>
      <c r="U16" s="1">
        <v>30.302525720641853</v>
      </c>
      <c r="V16">
        <v>20</v>
      </c>
      <c r="W16">
        <v>0</v>
      </c>
    </row>
    <row r="17" spans="1:23" x14ac:dyDescent="0.25">
      <c r="A17">
        <v>14</v>
      </c>
      <c r="B17">
        <v>80</v>
      </c>
      <c r="C17">
        <v>0</v>
      </c>
      <c r="D17">
        <v>2</v>
      </c>
      <c r="E17">
        <v>-8.1630000000000003</v>
      </c>
      <c r="F17">
        <v>20</v>
      </c>
      <c r="G17">
        <v>0</v>
      </c>
      <c r="I17" s="3" cm="1">
        <f t="array" ref="I17">h_ex_td(E17,G17,101325,101325,0,0)</f>
        <v>50.005334374911179</v>
      </c>
      <c r="J17" s="2" cm="1">
        <f t="array" ref="J17">h_ex_td(E17,G17,101325,101325,0,1)</f>
        <v>50.000494175191115</v>
      </c>
      <c r="K17">
        <v>50</v>
      </c>
      <c r="L17" s="1" cm="1">
        <f t="array" ref="L17">td_ex_h(K17,G17,101325,101325,1,0)</f>
        <v>-8.1631128878586061</v>
      </c>
      <c r="M17" s="3">
        <f t="shared" si="0"/>
        <v>4.9417519111472075E-4</v>
      </c>
      <c r="N17" s="2" cm="1">
        <f t="array" ref="N17">h2exh1(K17,G17,D17,101325,101325,1)</f>
        <v>43.2893224580598</v>
      </c>
      <c r="O17">
        <v>2</v>
      </c>
      <c r="Q17">
        <v>14</v>
      </c>
      <c r="R17">
        <v>80</v>
      </c>
      <c r="S17">
        <v>0</v>
      </c>
      <c r="T17">
        <v>2</v>
      </c>
      <c r="U17" s="1">
        <v>43.2893224580598</v>
      </c>
      <c r="V17">
        <v>20</v>
      </c>
      <c r="W17">
        <v>0</v>
      </c>
    </row>
    <row r="18" spans="1:23" x14ac:dyDescent="0.25">
      <c r="A18">
        <v>15</v>
      </c>
      <c r="B18">
        <v>80</v>
      </c>
      <c r="C18">
        <v>0</v>
      </c>
      <c r="D18">
        <v>2</v>
      </c>
      <c r="E18">
        <v>-5.1319999999999997</v>
      </c>
      <c r="F18">
        <v>20</v>
      </c>
      <c r="G18">
        <v>0</v>
      </c>
      <c r="I18" s="3" cm="1">
        <f t="array" ref="I18">h_ex_td(E18,G18,101325,101325,0,0)</f>
        <v>65.004898128341608</v>
      </c>
      <c r="J18" s="2" cm="1">
        <f t="array" ref="J18">h_ex_td(E18,G18,101325,101325,0,1)</f>
        <v>64.998606065831538</v>
      </c>
      <c r="K18">
        <v>65</v>
      </c>
      <c r="L18" s="1" cm="1">
        <f t="array" ref="L18">td_ex_h(K18,G18,101325,101325,1,0)</f>
        <v>-5.1317493713567792</v>
      </c>
      <c r="M18" s="3">
        <f t="shared" si="0"/>
        <v>-1.3939341684618967E-3</v>
      </c>
      <c r="N18" s="2" cm="1">
        <f t="array" ref="N18">h2exh1(K18,G18,D18,101325,101325,1)</f>
        <v>56.276119195477726</v>
      </c>
      <c r="O18">
        <v>2</v>
      </c>
      <c r="Q18">
        <v>15</v>
      </c>
      <c r="R18">
        <v>80</v>
      </c>
      <c r="S18">
        <v>0</v>
      </c>
      <c r="T18">
        <v>2</v>
      </c>
      <c r="U18" s="1">
        <v>56.276119195477726</v>
      </c>
      <c r="V18">
        <v>20</v>
      </c>
      <c r="W18">
        <v>0</v>
      </c>
    </row>
    <row r="19" spans="1:23" x14ac:dyDescent="0.25">
      <c r="A19">
        <v>16</v>
      </c>
      <c r="B19">
        <v>80</v>
      </c>
      <c r="C19">
        <v>0</v>
      </c>
      <c r="D19">
        <v>2</v>
      </c>
      <c r="E19">
        <v>-2.6829999999999998</v>
      </c>
      <c r="F19">
        <v>20</v>
      </c>
      <c r="G19">
        <v>0</v>
      </c>
      <c r="I19" s="3" cm="1">
        <f t="array" ref="I19">h_ex_td(E19,G19,101325,101325,0,0)</f>
        <v>80.006449139544031</v>
      </c>
      <c r="J19" s="2" cm="1">
        <f t="array" ref="J19">h_ex_td(E19,G19,101325,101325,0,1)</f>
        <v>79.99870502188999</v>
      </c>
      <c r="K19">
        <v>80</v>
      </c>
      <c r="L19" s="1" cm="1">
        <f t="array" ref="L19">td_ex_h(K19,G19,101325,101325,1,0)</f>
        <v>-2.6828073289003922</v>
      </c>
      <c r="M19" s="3">
        <f t="shared" si="0"/>
        <v>-1.2949781100104474E-3</v>
      </c>
      <c r="N19" s="2" cm="1">
        <f t="array" ref="N19">h2exh1(K19,G19,D19,101325,101325,1)</f>
        <v>69.262915932895666</v>
      </c>
      <c r="O19">
        <v>2</v>
      </c>
      <c r="Q19">
        <v>16</v>
      </c>
      <c r="R19">
        <v>80</v>
      </c>
      <c r="S19">
        <v>0</v>
      </c>
      <c r="T19">
        <v>2</v>
      </c>
      <c r="U19" s="1">
        <v>69.262915932895666</v>
      </c>
      <c r="V19">
        <v>20</v>
      </c>
      <c r="W19">
        <v>0</v>
      </c>
    </row>
    <row r="20" spans="1:23" x14ac:dyDescent="0.25">
      <c r="A20">
        <v>17</v>
      </c>
      <c r="B20">
        <v>120</v>
      </c>
      <c r="C20">
        <v>0</v>
      </c>
      <c r="D20">
        <v>2</v>
      </c>
      <c r="E20">
        <v>-0.622</v>
      </c>
      <c r="F20">
        <v>10</v>
      </c>
      <c r="G20">
        <v>0</v>
      </c>
      <c r="H20" t="s">
        <v>20</v>
      </c>
      <c r="I20" s="3" cm="1">
        <f t="array" ref="I20">h_ex_td(E20,G20,101325,101325,0,0)</f>
        <v>95.006576584310409</v>
      </c>
      <c r="J20" s="2" cm="1">
        <f t="array" ref="J20">h_ex_td(E20,G20,101325,101325,0,1)</f>
        <v>94.997380549304609</v>
      </c>
      <c r="K20">
        <v>95</v>
      </c>
      <c r="L20" s="1" cm="1">
        <f t="array" ref="L20">td_ex_h(K20,G20,101325,101325,1,0)</f>
        <v>-0.62166675272670369</v>
      </c>
      <c r="M20" s="3">
        <f t="shared" si="0"/>
        <v>-2.6194506953913788E-3</v>
      </c>
      <c r="N20" s="2" cm="1">
        <f t="array" ref="N20">h2exh1(K20,G20,D20,101325,101325,1)</f>
        <v>82.249712670313627</v>
      </c>
      <c r="O20">
        <v>2</v>
      </c>
      <c r="Q20">
        <v>17</v>
      </c>
      <c r="R20">
        <v>120</v>
      </c>
      <c r="S20">
        <v>0</v>
      </c>
      <c r="T20">
        <v>2</v>
      </c>
      <c r="U20" s="1">
        <v>82.249712670313627</v>
      </c>
      <c r="V20">
        <v>10</v>
      </c>
      <c r="W20">
        <v>0</v>
      </c>
    </row>
    <row r="21" spans="1:23" x14ac:dyDescent="0.25">
      <c r="A21">
        <v>18</v>
      </c>
      <c r="B21">
        <v>80</v>
      </c>
      <c r="C21">
        <v>0</v>
      </c>
      <c r="D21">
        <v>2</v>
      </c>
      <c r="E21">
        <v>-2.6829999999999998</v>
      </c>
      <c r="F21">
        <v>20</v>
      </c>
      <c r="G21">
        <v>0</v>
      </c>
      <c r="I21" s="3" cm="1">
        <f t="array" ref="I21">h_ex_td(E21,G21,101325,101325,0,0)</f>
        <v>80.006449139544031</v>
      </c>
      <c r="J21" s="2" cm="1">
        <f t="array" ref="J21">h_ex_td(E21,G21,101325,101325,0,1)</f>
        <v>79.99870502188999</v>
      </c>
      <c r="K21">
        <v>80</v>
      </c>
      <c r="L21" s="1" cm="1">
        <f t="array" ref="L21">td_ex_h(K21,G21,101325,101325,1,0)</f>
        <v>-2.6828073289003922</v>
      </c>
      <c r="M21" s="3">
        <f t="shared" si="0"/>
        <v>-1.2949781100104474E-3</v>
      </c>
      <c r="N21" s="2" cm="1">
        <f t="array" ref="N21">h2exh1(K21,G21,D21,101325,101325,1)</f>
        <v>69.262915932895666</v>
      </c>
      <c r="O21">
        <v>2</v>
      </c>
      <c r="Q21">
        <v>18</v>
      </c>
      <c r="R21">
        <v>80</v>
      </c>
      <c r="S21">
        <v>0</v>
      </c>
      <c r="T21">
        <v>2</v>
      </c>
      <c r="U21" s="1">
        <v>69.262915932895666</v>
      </c>
      <c r="V21">
        <v>20</v>
      </c>
      <c r="W21">
        <v>0</v>
      </c>
    </row>
    <row r="22" spans="1:23" x14ac:dyDescent="0.25">
      <c r="A22">
        <v>19</v>
      </c>
      <c r="B22">
        <v>80</v>
      </c>
      <c r="C22">
        <v>0</v>
      </c>
      <c r="D22">
        <v>2</v>
      </c>
      <c r="E22">
        <v>-5.1319999999999997</v>
      </c>
      <c r="F22">
        <v>20</v>
      </c>
      <c r="G22">
        <v>0</v>
      </c>
      <c r="I22" s="3" cm="1">
        <f t="array" ref="I22">h_ex_td(E22,G22,101325,101325,0,0)</f>
        <v>65.004898128341608</v>
      </c>
      <c r="J22" s="2" cm="1">
        <f t="array" ref="J22">h_ex_td(E22,G22,101325,101325,0,1)</f>
        <v>64.998606065831538</v>
      </c>
      <c r="K22">
        <v>65</v>
      </c>
      <c r="L22" s="1" cm="1">
        <f t="array" ref="L22">td_ex_h(K22,G22,101325,101325,1,0)</f>
        <v>-5.1317493713567792</v>
      </c>
      <c r="M22" s="3">
        <f t="shared" si="0"/>
        <v>-1.3939341684618967E-3</v>
      </c>
      <c r="N22" s="2" cm="1">
        <f t="array" ref="N22">h2exh1(K22,G22,D22,101325,101325,1)</f>
        <v>56.276119195477726</v>
      </c>
      <c r="O22">
        <v>2</v>
      </c>
      <c r="Q22">
        <v>19</v>
      </c>
      <c r="R22">
        <v>80</v>
      </c>
      <c r="S22">
        <v>0</v>
      </c>
      <c r="T22">
        <v>2</v>
      </c>
      <c r="U22" s="1">
        <v>56.276119195477726</v>
      </c>
      <c r="V22">
        <v>20</v>
      </c>
      <c r="W22">
        <v>0</v>
      </c>
    </row>
    <row r="23" spans="1:23" x14ac:dyDescent="0.25">
      <c r="A23">
        <v>20</v>
      </c>
      <c r="B23">
        <v>80</v>
      </c>
      <c r="C23">
        <v>0</v>
      </c>
      <c r="D23">
        <v>2</v>
      </c>
      <c r="E23">
        <v>-8.1630000000000003</v>
      </c>
      <c r="F23">
        <v>20</v>
      </c>
      <c r="G23">
        <v>0</v>
      </c>
      <c r="I23" s="3" cm="1">
        <f t="array" ref="I23">h_ex_td(E23,G23,101325,101325,0,0)</f>
        <v>50.005334374911179</v>
      </c>
      <c r="J23" s="2" cm="1">
        <f t="array" ref="J23">h_ex_td(E23,G23,101325,101325,0,1)</f>
        <v>50.000494175191115</v>
      </c>
      <c r="K23">
        <v>50</v>
      </c>
      <c r="L23" s="1" cm="1">
        <f t="array" ref="L23">td_ex_h(K23,G23,101325,101325,1,0)</f>
        <v>-8.1631128878586061</v>
      </c>
      <c r="M23" s="3">
        <f t="shared" si="0"/>
        <v>4.9417519111472075E-4</v>
      </c>
      <c r="N23" s="2" cm="1">
        <f t="array" ref="N23">h2exh1(K23,G23,D23,101325,101325,1)</f>
        <v>43.2893224580598</v>
      </c>
      <c r="O23">
        <v>2</v>
      </c>
      <c r="Q23">
        <v>20</v>
      </c>
      <c r="R23">
        <v>80</v>
      </c>
      <c r="S23">
        <v>0</v>
      </c>
      <c r="T23">
        <v>2</v>
      </c>
      <c r="U23" s="1">
        <v>43.2893224580598</v>
      </c>
      <c r="V23">
        <v>20</v>
      </c>
      <c r="W23">
        <v>0</v>
      </c>
    </row>
    <row r="24" spans="1:23" x14ac:dyDescent="0.25">
      <c r="A24">
        <v>21</v>
      </c>
      <c r="B24">
        <v>80</v>
      </c>
      <c r="C24">
        <v>0</v>
      </c>
      <c r="D24">
        <v>2</v>
      </c>
      <c r="E24">
        <v>-12.175000000000001</v>
      </c>
      <c r="F24">
        <v>20</v>
      </c>
      <c r="G24">
        <v>0</v>
      </c>
      <c r="I24" s="3" cm="1">
        <f t="array" ref="I24">h_ex_td(E24,G24,101325,101325,0,0)</f>
        <v>35.004585716385634</v>
      </c>
      <c r="J24" s="2" cm="1">
        <f t="array" ref="J24">h_ex_td(E24,G24,101325,101325,0,1)</f>
        <v>35.001197494146872</v>
      </c>
      <c r="K24">
        <v>35</v>
      </c>
      <c r="L24" s="1" cm="1">
        <f t="array" ref="L24">td_ex_h(K24,G24,101325,101325,1,0)</f>
        <v>-12.175378906092927</v>
      </c>
      <c r="M24" s="3">
        <f t="shared" si="0"/>
        <v>1.1974941468722022E-3</v>
      </c>
      <c r="N24" s="2" cm="1">
        <f t="array" ref="N24">h2exh1(K24,G24,D24,101325,101325,1)</f>
        <v>30.302525720641853</v>
      </c>
      <c r="O24">
        <v>2</v>
      </c>
      <c r="Q24">
        <v>21</v>
      </c>
      <c r="R24">
        <v>80</v>
      </c>
      <c r="S24">
        <v>0</v>
      </c>
      <c r="T24">
        <v>2</v>
      </c>
      <c r="U24" s="1">
        <v>30.302525720641853</v>
      </c>
      <c r="V24">
        <v>20</v>
      </c>
      <c r="W24">
        <v>0</v>
      </c>
    </row>
    <row r="25" spans="1:23" x14ac:dyDescent="0.25">
      <c r="A25">
        <v>22</v>
      </c>
      <c r="B25">
        <v>80</v>
      </c>
      <c r="C25">
        <v>0</v>
      </c>
      <c r="D25">
        <v>2</v>
      </c>
      <c r="E25">
        <v>-18.231000000000002</v>
      </c>
      <c r="F25">
        <v>20</v>
      </c>
      <c r="G25">
        <v>0</v>
      </c>
      <c r="I25" s="3" cm="1">
        <f t="array" ref="I25">h_ex_td(E25,G25,101325,101325,0,0)</f>
        <v>20.001181411581275</v>
      </c>
      <c r="J25" s="2" cm="1">
        <f t="array" ref="J25">h_ex_td(E25,G25,101325,101325,0,1)</f>
        <v>19.999245423873575</v>
      </c>
      <c r="K25">
        <v>20</v>
      </c>
      <c r="L25" s="1" cm="1">
        <f t="array" ref="L25">td_ex_h(K25,G25,101325,101325,1,0)</f>
        <v>-18.230600735851418</v>
      </c>
      <c r="M25" s="3">
        <f t="shared" si="0"/>
        <v>-7.5457612642537697E-4</v>
      </c>
      <c r="N25" s="2" cm="1">
        <f t="array" ref="N25">h2exh1(K25,G25,D25,101325,101325,1)</f>
        <v>17.315728983223917</v>
      </c>
      <c r="O25">
        <v>2</v>
      </c>
      <c r="Q25">
        <v>22</v>
      </c>
      <c r="R25">
        <v>80</v>
      </c>
      <c r="S25">
        <v>0</v>
      </c>
      <c r="T25">
        <v>2</v>
      </c>
      <c r="U25" s="1">
        <v>17.315728983223917</v>
      </c>
      <c r="V25">
        <v>20</v>
      </c>
      <c r="W25">
        <v>0</v>
      </c>
    </row>
    <row r="26" spans="1:23" x14ac:dyDescent="0.25">
      <c r="A26">
        <v>23</v>
      </c>
      <c r="B26">
        <v>180</v>
      </c>
      <c r="C26">
        <v>0</v>
      </c>
      <c r="D26">
        <v>-8</v>
      </c>
      <c r="E26">
        <v>-25.992000000000001</v>
      </c>
      <c r="F26">
        <v>20</v>
      </c>
      <c r="G26">
        <v>-10</v>
      </c>
      <c r="H26" t="s">
        <v>21</v>
      </c>
      <c r="I26" s="3" cm="1">
        <f t="array" ref="I26">h_ex_td(E26,G26,101325,101325,0,0)</f>
        <v>22.050623597736525</v>
      </c>
      <c r="J26" s="2" cm="1">
        <f t="array" ref="J26">h_ex_td(E26,G26,101325,101325,0,1)</f>
        <v>19.999913735419973</v>
      </c>
      <c r="K26">
        <v>20</v>
      </c>
      <c r="L26" s="1" cm="1">
        <f t="array" ref="L26">td_ex_h(K26,G26,101325,101325,1,0)</f>
        <v>-25.991955714271032</v>
      </c>
      <c r="M26" s="3">
        <f t="shared" si="0"/>
        <v>-8.6264580026806925E-5</v>
      </c>
      <c r="N26" s="2" cm="1">
        <f t="array" ref="N26">h2exh1(K26,G26,D26,101325,101325,1)</f>
        <v>17.100806960161528</v>
      </c>
      <c r="O26">
        <v>3</v>
      </c>
      <c r="Q26">
        <v>23</v>
      </c>
      <c r="R26">
        <v>180</v>
      </c>
      <c r="S26">
        <v>0</v>
      </c>
      <c r="T26">
        <v>-8</v>
      </c>
      <c r="U26" s="1">
        <v>17.100806960161528</v>
      </c>
      <c r="V26">
        <v>20</v>
      </c>
      <c r="W26">
        <v>-10</v>
      </c>
    </row>
    <row r="27" spans="1:23" x14ac:dyDescent="0.25">
      <c r="A27">
        <v>24</v>
      </c>
      <c r="B27">
        <v>80</v>
      </c>
      <c r="C27">
        <v>0</v>
      </c>
      <c r="D27">
        <v>-8</v>
      </c>
      <c r="E27">
        <v>-20.305</v>
      </c>
      <c r="F27">
        <v>20</v>
      </c>
      <c r="G27">
        <v>-10</v>
      </c>
      <c r="I27" s="3" cm="1">
        <f t="array" ref="I27">h_ex_td(E27,G27,101325,101325,0,0)</f>
        <v>38.587345433851517</v>
      </c>
      <c r="J27" s="2" cm="1">
        <f t="array" ref="J27">h_ex_td(E27,G27,101325,101325,0,1)</f>
        <v>34.998719040086499</v>
      </c>
      <c r="K27">
        <v>35</v>
      </c>
      <c r="L27" s="1" cm="1">
        <f t="array" ref="L27">td_ex_h(K27,G27,101325,101325,1,0)</f>
        <v>-20.30461875353938</v>
      </c>
      <c r="M27" s="3">
        <f t="shared" si="0"/>
        <v>-1.2809599135010785E-3</v>
      </c>
      <c r="N27" s="2" cm="1">
        <f t="array" ref="N27">h2exh1(K27,G27,D27,101325,101325,1)</f>
        <v>29.926412180282671</v>
      </c>
      <c r="O27">
        <v>3</v>
      </c>
      <c r="Q27">
        <v>24</v>
      </c>
      <c r="R27">
        <v>80</v>
      </c>
      <c r="S27">
        <v>0</v>
      </c>
      <c r="T27">
        <v>-8</v>
      </c>
      <c r="U27" s="1">
        <v>29.926412180282671</v>
      </c>
      <c r="V27">
        <v>20</v>
      </c>
      <c r="W27">
        <v>-10</v>
      </c>
    </row>
    <row r="28" spans="1:23" x14ac:dyDescent="0.25">
      <c r="A28">
        <v>25</v>
      </c>
      <c r="B28">
        <v>80</v>
      </c>
      <c r="C28">
        <v>0</v>
      </c>
      <c r="D28">
        <v>-8</v>
      </c>
      <c r="E28">
        <v>-16.541</v>
      </c>
      <c r="F28">
        <v>20</v>
      </c>
      <c r="G28">
        <v>-10</v>
      </c>
      <c r="I28" s="3" cm="1">
        <f t="array" ref="I28">h_ex_td(E28,G28,101325,101325,0,0)</f>
        <v>55.126512291645611</v>
      </c>
      <c r="J28" s="2" cm="1">
        <f t="array" ref="J28">h_ex_td(E28,G28,101325,101325,0,1)</f>
        <v>49.999741979208878</v>
      </c>
      <c r="K28">
        <v>50</v>
      </c>
      <c r="L28" s="1" cm="1">
        <f t="array" ref="L28">td_ex_h(K28,G28,101325,101325,1,0)</f>
        <v>-16.540944360641994</v>
      </c>
      <c r="M28" s="3">
        <f t="shared" si="0"/>
        <v>-2.5802079112224874E-4</v>
      </c>
      <c r="N28" s="2" cm="1">
        <f t="array" ref="N28">h2exh1(K28,G28,D28,101325,101325,1)</f>
        <v>42.752017400403822</v>
      </c>
      <c r="O28">
        <v>3</v>
      </c>
      <c r="Q28">
        <v>25</v>
      </c>
      <c r="R28">
        <v>80</v>
      </c>
      <c r="S28">
        <v>0</v>
      </c>
      <c r="T28">
        <v>-8</v>
      </c>
      <c r="U28" s="1">
        <v>42.752017400403822</v>
      </c>
      <c r="V28">
        <v>20</v>
      </c>
      <c r="W28">
        <v>-10</v>
      </c>
    </row>
    <row r="29" spans="1:23" x14ac:dyDescent="0.25">
      <c r="A29">
        <v>26</v>
      </c>
      <c r="B29">
        <v>180</v>
      </c>
      <c r="C29">
        <v>0</v>
      </c>
      <c r="D29">
        <v>2</v>
      </c>
      <c r="E29">
        <v>-13.7</v>
      </c>
      <c r="F29">
        <v>20</v>
      </c>
      <c r="G29">
        <v>-10</v>
      </c>
      <c r="H29" t="s">
        <v>22</v>
      </c>
      <c r="I29" s="3" cm="1">
        <f t="array" ref="I29">h_ex_td(E29,G29,101325,101325,0,0)</f>
        <v>71.664551673945283</v>
      </c>
      <c r="J29" s="2" cm="1">
        <f t="array" ref="J29">h_ex_td(E29,G29,101325,101325,0,1)</f>
        <v>64.999742298153322</v>
      </c>
      <c r="K29">
        <v>65</v>
      </c>
      <c r="L29" s="1" cm="1">
        <f t="array" ref="L29">td_ex_h(K29,G29,101325,101325,1,0)</f>
        <v>-13.699956403974353</v>
      </c>
      <c r="M29" s="3">
        <f t="shared" si="0"/>
        <v>-2.5770184667806006E-4</v>
      </c>
      <c r="N29" s="2" cm="1">
        <f t="array" ref="N29">h2exh1(K29,G29,D29,101325,101325,1)</f>
        <v>26.385089694943332</v>
      </c>
      <c r="O29">
        <v>3</v>
      </c>
      <c r="Q29">
        <v>26</v>
      </c>
      <c r="R29">
        <v>180</v>
      </c>
      <c r="S29">
        <v>0</v>
      </c>
      <c r="T29">
        <v>2</v>
      </c>
      <c r="U29" s="1">
        <v>26.385089694943332</v>
      </c>
      <c r="V29">
        <v>20</v>
      </c>
      <c r="W29">
        <v>-10</v>
      </c>
    </row>
    <row r="30" spans="1:23" x14ac:dyDescent="0.25">
      <c r="A30">
        <v>27</v>
      </c>
      <c r="B30">
        <v>80</v>
      </c>
      <c r="C30">
        <v>0</v>
      </c>
      <c r="D30">
        <v>2</v>
      </c>
      <c r="E30">
        <v>-11.406000000000001</v>
      </c>
      <c r="F30">
        <v>20</v>
      </c>
      <c r="G30">
        <v>-10</v>
      </c>
      <c r="I30" s="3" cm="1">
        <f t="array" ref="I30">h_ex_td(E30,G30,101325,101325,0,0)</f>
        <v>88.206235057357645</v>
      </c>
      <c r="J30" s="2" cm="1">
        <f t="array" ref="J30">h_ex_td(E30,G30,101325,101325,0,1)</f>
        <v>80.003047725798311</v>
      </c>
      <c r="K30">
        <v>80</v>
      </c>
      <c r="L30" s="1" cm="1">
        <f t="array" ref="L30">td_ex_h(K30,G30,101325,101325,1,0)</f>
        <v>-11.406424444112638</v>
      </c>
      <c r="M30" s="3">
        <f t="shared" si="0"/>
        <v>3.0477257983108075E-3</v>
      </c>
      <c r="N30" s="2" cm="1">
        <f t="array" ref="N30">h2exh1(K30,G30,D30,101325,101325,1)</f>
        <v>32.473956547622571</v>
      </c>
      <c r="O30">
        <v>3</v>
      </c>
      <c r="Q30">
        <v>27</v>
      </c>
      <c r="R30">
        <v>80</v>
      </c>
      <c r="S30">
        <v>0</v>
      </c>
      <c r="T30">
        <v>2</v>
      </c>
      <c r="U30" s="1">
        <v>32.473956547622571</v>
      </c>
      <c r="V30">
        <v>20</v>
      </c>
      <c r="W30">
        <v>-10</v>
      </c>
    </row>
    <row r="31" spans="1:23" x14ac:dyDescent="0.25">
      <c r="A31">
        <v>28</v>
      </c>
      <c r="B31">
        <v>80</v>
      </c>
      <c r="C31">
        <v>0</v>
      </c>
      <c r="D31">
        <v>2</v>
      </c>
      <c r="E31">
        <v>-10.087241894094779</v>
      </c>
      <c r="F31">
        <v>10</v>
      </c>
      <c r="G31">
        <v>-10</v>
      </c>
      <c r="I31" s="3" cm="1">
        <f t="array" ref="I31">h_ex_td(E31,G31,101325,101325,0,0)</f>
        <v>99.228234589160962</v>
      </c>
      <c r="J31" s="2" cm="1">
        <f t="array" ref="J31">h_ex_td(E31,G31,101325,101325,0,1)</f>
        <v>90.000000367560943</v>
      </c>
      <c r="K31">
        <v>90</v>
      </c>
      <c r="L31" s="1" cm="1">
        <f t="array" ref="L31">td_ex_h(K31,G31,101325,101325,1,0)</f>
        <v>-10.087241894094779</v>
      </c>
      <c r="M31" s="3">
        <f t="shared" si="0"/>
        <v>3.6756094345946622E-7</v>
      </c>
      <c r="N31" s="2" cm="1">
        <f t="array" ref="N31">h2exh1(K31,G31,D31,101325,101325,1)</f>
        <v>36.533201116075389</v>
      </c>
      <c r="O31">
        <v>3</v>
      </c>
      <c r="Q31">
        <v>28</v>
      </c>
      <c r="R31">
        <v>80</v>
      </c>
      <c r="S31">
        <v>0</v>
      </c>
      <c r="T31">
        <v>2</v>
      </c>
      <c r="U31" s="1">
        <v>38.562823400301802</v>
      </c>
      <c r="V31">
        <v>10</v>
      </c>
      <c r="W31">
        <v>-10</v>
      </c>
    </row>
    <row r="32" spans="1:23" x14ac:dyDescent="0.25">
      <c r="A32">
        <v>29</v>
      </c>
      <c r="B32">
        <v>80</v>
      </c>
      <c r="C32">
        <v>0</v>
      </c>
      <c r="D32">
        <v>2</v>
      </c>
      <c r="E32">
        <v>-11.406000000000001</v>
      </c>
      <c r="F32">
        <v>20</v>
      </c>
      <c r="G32">
        <v>-10</v>
      </c>
      <c r="I32" s="3" cm="1">
        <f t="array" ref="I32">h_ex_td(E32,G32,101325,101325,0,0)</f>
        <v>88.206235057357645</v>
      </c>
      <c r="J32" s="2" cm="1">
        <f t="array" ref="J32">h_ex_td(E32,G32,101325,101325,0,1)</f>
        <v>80.003047725798311</v>
      </c>
      <c r="K32">
        <v>80</v>
      </c>
      <c r="L32" s="1" cm="1">
        <f t="array" ref="L32">td_ex_h(K32,G32,101325,101325,1,0)</f>
        <v>-11.406424444112638</v>
      </c>
      <c r="M32" s="3">
        <f t="shared" si="0"/>
        <v>3.0477257983108075E-3</v>
      </c>
      <c r="N32" s="2" cm="1">
        <f t="array" ref="N32">h2exh1(K32,G32,D32,101325,101325,1)</f>
        <v>32.473956547622571</v>
      </c>
      <c r="O32">
        <v>3</v>
      </c>
      <c r="Q32">
        <v>29</v>
      </c>
      <c r="R32">
        <v>80</v>
      </c>
      <c r="S32">
        <v>0</v>
      </c>
      <c r="T32">
        <v>2</v>
      </c>
      <c r="U32" s="1">
        <v>32.473956547622571</v>
      </c>
      <c r="V32">
        <v>20</v>
      </c>
      <c r="W32">
        <v>-10</v>
      </c>
    </row>
    <row r="33" spans="1:23" x14ac:dyDescent="0.25">
      <c r="A33">
        <v>30</v>
      </c>
      <c r="B33">
        <v>80</v>
      </c>
      <c r="C33">
        <v>0</v>
      </c>
      <c r="D33">
        <v>2</v>
      </c>
      <c r="E33">
        <v>-13.7</v>
      </c>
      <c r="F33">
        <v>20</v>
      </c>
      <c r="G33">
        <v>-10</v>
      </c>
      <c r="I33" s="3" cm="1">
        <f t="array" ref="I33">h_ex_td(E33,G33,101325,101325,0,0)</f>
        <v>71.664551673945283</v>
      </c>
      <c r="J33" s="2" cm="1">
        <f t="array" ref="J33">h_ex_td(E33,G33,101325,101325,0,1)</f>
        <v>64.999742298153322</v>
      </c>
      <c r="K33">
        <v>65</v>
      </c>
      <c r="L33" s="1" cm="1">
        <f t="array" ref="L33">td_ex_h(K33,G33,101325,101325,1,0)</f>
        <v>-13.699956403974353</v>
      </c>
      <c r="M33" s="3">
        <f t="shared" si="0"/>
        <v>-2.5770184667806006E-4</v>
      </c>
      <c r="N33" s="2" cm="1">
        <f t="array" ref="N33">h2exh1(K33,G33,D33,101325,101325,1)</f>
        <v>26.385089694943332</v>
      </c>
      <c r="O33">
        <v>3</v>
      </c>
      <c r="Q33">
        <v>30</v>
      </c>
      <c r="R33">
        <v>80</v>
      </c>
      <c r="S33">
        <v>0</v>
      </c>
      <c r="T33">
        <v>2</v>
      </c>
      <c r="U33" s="1">
        <v>26.385089694943332</v>
      </c>
      <c r="V33">
        <v>20</v>
      </c>
      <c r="W33">
        <v>-10</v>
      </c>
    </row>
    <row r="34" spans="1:23" x14ac:dyDescent="0.25">
      <c r="A34">
        <v>31</v>
      </c>
      <c r="B34">
        <v>80</v>
      </c>
      <c r="C34">
        <v>0</v>
      </c>
      <c r="D34">
        <v>2</v>
      </c>
      <c r="E34">
        <v>-16.541</v>
      </c>
      <c r="F34">
        <v>20</v>
      </c>
      <c r="G34">
        <v>-10</v>
      </c>
      <c r="I34" s="3" cm="1">
        <f t="array" ref="I34">h_ex_td(E34,G34,101325,101325,0,0)</f>
        <v>55.126512291645611</v>
      </c>
      <c r="J34" s="2" cm="1">
        <f t="array" ref="J34">h_ex_td(E34,G34,101325,101325,0,1)</f>
        <v>49.999741979208878</v>
      </c>
      <c r="K34">
        <v>50</v>
      </c>
      <c r="L34" s="1" cm="1">
        <f t="array" ref="L34">td_ex_h(K34,G34,101325,101325,1,0)</f>
        <v>-16.540944360641994</v>
      </c>
      <c r="M34" s="3">
        <f t="shared" si="0"/>
        <v>-2.5802079112224874E-4</v>
      </c>
      <c r="N34" s="2" cm="1">
        <f t="array" ref="N34">h2exh1(K34,G34,D34,101325,101325,1)</f>
        <v>20.296222842264104</v>
      </c>
      <c r="O34">
        <v>3</v>
      </c>
      <c r="Q34">
        <v>31</v>
      </c>
      <c r="R34">
        <v>80</v>
      </c>
      <c r="S34">
        <v>0</v>
      </c>
      <c r="T34">
        <v>2</v>
      </c>
      <c r="U34" s="1">
        <v>20.296222842264104</v>
      </c>
      <c r="V34">
        <v>20</v>
      </c>
      <c r="W34">
        <v>-10</v>
      </c>
    </row>
    <row r="35" spans="1:23" x14ac:dyDescent="0.25">
      <c r="A35">
        <v>32</v>
      </c>
      <c r="B35">
        <v>180</v>
      </c>
      <c r="C35">
        <v>0</v>
      </c>
      <c r="D35">
        <v>-8</v>
      </c>
      <c r="E35">
        <v>-20.305</v>
      </c>
      <c r="F35">
        <v>20</v>
      </c>
      <c r="G35">
        <v>-10</v>
      </c>
      <c r="H35" t="s">
        <v>22</v>
      </c>
      <c r="I35" s="3" cm="1">
        <f t="array" ref="I35">h_ex_td(E35,G35,101325,101325,0,0)</f>
        <v>38.587345433851517</v>
      </c>
      <c r="J35" s="2" cm="1">
        <f t="array" ref="J35">h_ex_td(E35,G35,101325,101325,0,1)</f>
        <v>34.998719040086499</v>
      </c>
      <c r="K35">
        <v>35</v>
      </c>
      <c r="L35" s="1" cm="1">
        <f t="array" ref="L35">td_ex_h(K35,G35,101325,101325,1,0)</f>
        <v>-20.30461875353938</v>
      </c>
      <c r="M35" s="3">
        <f t="shared" si="0"/>
        <v>-1.2809599135010785E-3</v>
      </c>
      <c r="N35" s="2" cm="1">
        <f t="array" ref="N35">h2exh1(K35,G35,D35,101325,101325,1)</f>
        <v>29.926412180282671</v>
      </c>
      <c r="O35">
        <v>3</v>
      </c>
      <c r="Q35">
        <v>32</v>
      </c>
      <c r="R35">
        <v>180</v>
      </c>
      <c r="S35">
        <v>0</v>
      </c>
      <c r="T35">
        <v>-8</v>
      </c>
      <c r="U35" s="1">
        <v>29.926412180282671</v>
      </c>
      <c r="V35">
        <v>20</v>
      </c>
      <c r="W35">
        <v>-10</v>
      </c>
    </row>
    <row r="36" spans="1:23" x14ac:dyDescent="0.25">
      <c r="A36">
        <v>33</v>
      </c>
      <c r="B36">
        <v>80</v>
      </c>
      <c r="C36">
        <v>0</v>
      </c>
      <c r="D36">
        <v>-8</v>
      </c>
      <c r="E36">
        <v>-25.992000000000001</v>
      </c>
      <c r="F36">
        <v>20</v>
      </c>
      <c r="G36">
        <v>-10</v>
      </c>
      <c r="I36" s="3" cm="1">
        <f t="array" ref="I36">h_ex_td(E36,G36,101325,101325,0,0)</f>
        <v>22.050623597736525</v>
      </c>
      <c r="J36" s="2" cm="1">
        <f t="array" ref="J36">h_ex_td(E36,G36,101325,101325,0,1)</f>
        <v>19.999913735419973</v>
      </c>
      <c r="K36">
        <v>20</v>
      </c>
      <c r="L36" s="1" cm="1">
        <f t="array" ref="L36">td_ex_h(K36,G36,101325,101325,1,0)</f>
        <v>-25.991955714271032</v>
      </c>
      <c r="M36" s="3">
        <f t="shared" si="0"/>
        <v>-8.6264580026806925E-5</v>
      </c>
      <c r="N36" s="2" cm="1">
        <f t="array" ref="N36">h2exh1(K36,G36,D36,101325,101325,1)</f>
        <v>17.100806960161528</v>
      </c>
      <c r="O36">
        <v>3</v>
      </c>
      <c r="Q36">
        <v>33</v>
      </c>
      <c r="R36">
        <v>80</v>
      </c>
      <c r="S36">
        <v>0</v>
      </c>
      <c r="T36">
        <v>-8</v>
      </c>
      <c r="U36" s="1">
        <v>17.100806960161528</v>
      </c>
      <c r="V36">
        <v>20</v>
      </c>
      <c r="W36">
        <v>-10</v>
      </c>
    </row>
    <row r="37" spans="1:23" x14ac:dyDescent="0.25">
      <c r="A37">
        <v>34</v>
      </c>
      <c r="B37">
        <v>150</v>
      </c>
      <c r="C37">
        <v>0</v>
      </c>
      <c r="D37">
        <v>-10</v>
      </c>
      <c r="E37">
        <v>-28.595685250171826</v>
      </c>
      <c r="F37">
        <v>20</v>
      </c>
      <c r="G37">
        <v>-20</v>
      </c>
      <c r="H37" t="s">
        <v>21</v>
      </c>
      <c r="I37" s="3" cm="1">
        <f t="array" ref="I37">h_ex_td(E37,G37,101325,101325,0,0)</f>
        <v>42.58075068867609</v>
      </c>
      <c r="J37" s="2" cm="1">
        <f t="array" ref="J37">h_ex_td(E37,G37,101325,101325,0,1)</f>
        <v>35.00000658002736</v>
      </c>
      <c r="K37">
        <v>35</v>
      </c>
      <c r="L37" s="1" cm="1">
        <f t="array" ref="L37">td_ex_h(K37,G37,101325,101325,1,0)</f>
        <v>-28.595685250171826</v>
      </c>
      <c r="M37" s="3">
        <f t="shared" si="0"/>
        <v>6.5800273603144888E-6</v>
      </c>
      <c r="N37" s="2" cm="1">
        <f t="array" ref="N37">h2exh1(K37,G37,D37,101325,101325,1)</f>
        <v>15.345822346245063</v>
      </c>
      <c r="O37">
        <v>4</v>
      </c>
      <c r="Q37">
        <v>34</v>
      </c>
      <c r="R37">
        <v>150</v>
      </c>
      <c r="S37">
        <v>0</v>
      </c>
      <c r="T37">
        <v>2</v>
      </c>
      <c r="U37" s="1">
        <v>3.5595683432821255</v>
      </c>
      <c r="V37">
        <v>20</v>
      </c>
      <c r="W37">
        <v>-20</v>
      </c>
    </row>
    <row r="38" spans="1:23" x14ac:dyDescent="0.25">
      <c r="A38">
        <v>35</v>
      </c>
      <c r="B38">
        <v>120</v>
      </c>
      <c r="C38">
        <v>0</v>
      </c>
      <c r="D38">
        <v>-10</v>
      </c>
      <c r="E38">
        <v>-25.076760610188899</v>
      </c>
      <c r="F38">
        <v>20</v>
      </c>
      <c r="G38">
        <v>-20</v>
      </c>
      <c r="I38" s="3" cm="1">
        <f t="array" ref="I38">h_ex_td(E38,G38,101325,101325,0,0)</f>
        <v>60.829640355185418</v>
      </c>
      <c r="J38" s="2" cm="1">
        <f t="array" ref="J38">h_ex_td(E38,G38,101325,101325,0,1)</f>
        <v>50.00000653483977</v>
      </c>
      <c r="K38">
        <v>50</v>
      </c>
      <c r="L38" s="1" cm="1">
        <f t="array" ref="L38">td_ex_h(K38,G38,101325,101325,1,0)</f>
        <v>-25.076760610188899</v>
      </c>
      <c r="M38" s="3">
        <f t="shared" si="0"/>
        <v>6.5348397697562177E-6</v>
      </c>
      <c r="N38" s="2" cm="1">
        <f t="array" ref="N38">h2exh1(K38,G38,D38,101325,101325,1)</f>
        <v>21.922603351778655</v>
      </c>
      <c r="O38">
        <v>4</v>
      </c>
      <c r="Q38">
        <v>35</v>
      </c>
      <c r="R38">
        <v>120</v>
      </c>
      <c r="S38">
        <v>0</v>
      </c>
      <c r="T38">
        <v>-10</v>
      </c>
      <c r="U38" s="1">
        <v>15.345822346245063</v>
      </c>
      <c r="V38">
        <v>20</v>
      </c>
      <c r="W38">
        <v>-20</v>
      </c>
    </row>
    <row r="39" spans="1:23" x14ac:dyDescent="0.25">
      <c r="A39">
        <v>36</v>
      </c>
      <c r="B39">
        <v>80</v>
      </c>
      <c r="C39">
        <v>0</v>
      </c>
      <c r="D39">
        <v>-10</v>
      </c>
      <c r="E39">
        <v>-22.422934347641185</v>
      </c>
      <c r="F39">
        <v>20</v>
      </c>
      <c r="G39">
        <v>-20</v>
      </c>
      <c r="I39" s="3" cm="1">
        <f t="array" ref="I39">h_ex_td(E39,G39,101325,101325,0,0)</f>
        <v>79.078529565421164</v>
      </c>
      <c r="J39" s="2" cm="1">
        <f t="array" ref="J39">h_ex_td(E39,G39,101325,101325,0,1)</f>
        <v>65.000006114609974</v>
      </c>
      <c r="K39">
        <v>65</v>
      </c>
      <c r="L39" s="1" cm="1">
        <f t="array" ref="L39">td_ex_h(K39,G39,101325,101325,1,0)</f>
        <v>-22.422934347641185</v>
      </c>
      <c r="M39" s="3">
        <f t="shared" si="0"/>
        <v>6.1146099739062265E-6</v>
      </c>
      <c r="N39" s="2" cm="1">
        <f t="array" ref="N39">h2exh1(K39,G39,D39,101325,101325,1)</f>
        <v>28.499384357312259</v>
      </c>
      <c r="O39">
        <v>4</v>
      </c>
      <c r="Q39">
        <v>36</v>
      </c>
      <c r="R39">
        <v>80</v>
      </c>
      <c r="S39">
        <v>0</v>
      </c>
      <c r="T39">
        <v>-10</v>
      </c>
      <c r="U39" s="1">
        <v>21.922603351778655</v>
      </c>
      <c r="V39">
        <v>20</v>
      </c>
      <c r="W39">
        <v>-20</v>
      </c>
    </row>
    <row r="40" spans="1:23" x14ac:dyDescent="0.25">
      <c r="A40">
        <v>37</v>
      </c>
      <c r="B40">
        <v>80</v>
      </c>
      <c r="C40">
        <v>0</v>
      </c>
      <c r="D40">
        <v>-10</v>
      </c>
      <c r="E40">
        <v>-20.282015716013394</v>
      </c>
      <c r="F40">
        <v>20</v>
      </c>
      <c r="G40">
        <v>-20</v>
      </c>
      <c r="I40" s="3" cm="1">
        <f t="array" ref="I40">h_ex_td(E40,G40,101325,101325,0,0)</f>
        <v>97.327418559689178</v>
      </c>
      <c r="J40" s="2" cm="1">
        <f t="array" ref="J40">h_ex_td(E40,G40,101325,101325,0,1)</f>
        <v>80.000005516861663</v>
      </c>
      <c r="K40">
        <v>80</v>
      </c>
      <c r="L40" s="1" cm="1">
        <f t="array" ref="L40">td_ex_h(K40,G40,101325,101325,1,0)</f>
        <v>-20.282015716013394</v>
      </c>
      <c r="M40" s="3">
        <f t="shared" si="0"/>
        <v>5.5168616626133371E-6</v>
      </c>
      <c r="N40" s="2" cm="1">
        <f t="array" ref="N40">h2exh1(K40,G40,D40,101325,101325,1)</f>
        <v>35.076165362845856</v>
      </c>
      <c r="O40">
        <v>4</v>
      </c>
      <c r="Q40">
        <v>37</v>
      </c>
      <c r="R40">
        <v>80</v>
      </c>
      <c r="S40">
        <v>0</v>
      </c>
      <c r="T40">
        <v>-10</v>
      </c>
      <c r="U40" s="1">
        <v>28.499384357312259</v>
      </c>
      <c r="V40">
        <v>20</v>
      </c>
      <c r="W40">
        <v>-20</v>
      </c>
    </row>
    <row r="41" spans="1:23" x14ac:dyDescent="0.25">
      <c r="A41">
        <v>38</v>
      </c>
      <c r="B41">
        <v>120</v>
      </c>
      <c r="C41">
        <v>0</v>
      </c>
      <c r="D41">
        <v>2</v>
      </c>
      <c r="E41">
        <v>-22.422934347641185</v>
      </c>
      <c r="F41">
        <v>20</v>
      </c>
      <c r="G41">
        <v>-20</v>
      </c>
      <c r="I41" s="3" cm="1">
        <f t="array" ref="I41">h_ex_td(E41,G41,101325,101325,0,0)</f>
        <v>79.078529565421164</v>
      </c>
      <c r="J41" s="2" cm="1">
        <f t="array" ref="J41">h_ex_td(E41,G41,101325,101325,0,1)</f>
        <v>65.000006114609974</v>
      </c>
      <c r="K41">
        <v>65</v>
      </c>
      <c r="L41" s="1" cm="1">
        <f t="array" ref="L41">td_ex_h(K41,G41,101325,101325,1,0)</f>
        <v>-22.422934347641185</v>
      </c>
      <c r="M41" s="3">
        <f t="shared" si="0"/>
        <v>6.1146099739062265E-6</v>
      </c>
      <c r="N41" s="2" cm="1">
        <f t="array" ref="N41">h2exh1(K41,G41,D41,101325,101325,1)</f>
        <v>11.568597115666909</v>
      </c>
      <c r="O41">
        <v>4</v>
      </c>
      <c r="Q41">
        <v>38</v>
      </c>
      <c r="R41">
        <v>120</v>
      </c>
      <c r="S41">
        <v>0</v>
      </c>
      <c r="T41">
        <v>2</v>
      </c>
      <c r="U41" s="1">
        <v>14.238273373128502</v>
      </c>
      <c r="V41">
        <v>20</v>
      </c>
      <c r="W41">
        <v>-20</v>
      </c>
    </row>
    <row r="42" spans="1:23" x14ac:dyDescent="0.25">
      <c r="A42">
        <v>39</v>
      </c>
      <c r="B42">
        <v>80</v>
      </c>
      <c r="C42">
        <v>0</v>
      </c>
      <c r="D42">
        <v>2</v>
      </c>
      <c r="E42">
        <v>-25.076760610188899</v>
      </c>
      <c r="F42">
        <v>10</v>
      </c>
      <c r="G42">
        <v>-20</v>
      </c>
      <c r="I42" s="3" cm="1">
        <f t="array" ref="I42">h_ex_td(E42,G42,101325,101325,0,0)</f>
        <v>60.829640355185418</v>
      </c>
      <c r="J42" s="2" cm="1">
        <f t="array" ref="J42">h_ex_td(E42,G42,101325,101325,0,1)</f>
        <v>50.00000653483977</v>
      </c>
      <c r="K42">
        <v>50</v>
      </c>
      <c r="L42" s="1" cm="1">
        <f t="array" ref="L42">td_ex_h(K42,G42,101325,101325,1,0)</f>
        <v>-25.076760610188899</v>
      </c>
      <c r="M42" s="3">
        <f t="shared" si="0"/>
        <v>6.5348397697562177E-6</v>
      </c>
      <c r="N42" s="2" cm="1">
        <f t="array" ref="N42">h2exh1(K42,G42,D42,101325,101325,1)</f>
        <v>8.8989208582053134</v>
      </c>
      <c r="O42">
        <v>4</v>
      </c>
      <c r="Q42">
        <v>39</v>
      </c>
      <c r="R42">
        <v>80</v>
      </c>
      <c r="S42">
        <v>0</v>
      </c>
      <c r="T42">
        <v>2</v>
      </c>
      <c r="U42" s="1">
        <v>11.568597115666909</v>
      </c>
      <c r="V42">
        <v>10</v>
      </c>
      <c r="W42">
        <v>-20</v>
      </c>
    </row>
    <row r="43" spans="1:23" x14ac:dyDescent="0.25">
      <c r="A43">
        <v>40</v>
      </c>
      <c r="B43">
        <v>80</v>
      </c>
      <c r="C43">
        <v>0</v>
      </c>
      <c r="D43">
        <v>2</v>
      </c>
      <c r="E43">
        <v>-28.595685250171826</v>
      </c>
      <c r="F43">
        <v>20</v>
      </c>
      <c r="G43">
        <v>-20</v>
      </c>
      <c r="I43" s="3" cm="1">
        <f t="array" ref="I43">h_ex_td(E43,G43,101325,101325,0,0)</f>
        <v>42.58075068867609</v>
      </c>
      <c r="J43" s="2" cm="1">
        <f t="array" ref="J43">h_ex_td(E43,G43,101325,101325,0,1)</f>
        <v>35.00000658002736</v>
      </c>
      <c r="K43">
        <v>35</v>
      </c>
      <c r="L43" s="1" cm="1">
        <f t="array" ref="L43">td_ex_h(K43,G43,101325,101325,1,0)</f>
        <v>-28.595685250171826</v>
      </c>
      <c r="M43" s="3">
        <f t="shared" si="0"/>
        <v>6.5800273603144888E-6</v>
      </c>
      <c r="N43" s="2" cm="1">
        <f t="array" ref="N43">h2exh1(K43,G43,D43,101325,101325,1)</f>
        <v>6.2292446007437192</v>
      </c>
      <c r="O43">
        <v>4</v>
      </c>
      <c r="Q43">
        <v>40</v>
      </c>
      <c r="R43">
        <v>80</v>
      </c>
      <c r="S43">
        <v>0</v>
      </c>
      <c r="T43">
        <v>2</v>
      </c>
      <c r="U43" s="1">
        <v>8.8989208582053134</v>
      </c>
      <c r="V43">
        <v>20</v>
      </c>
      <c r="W43">
        <v>-20</v>
      </c>
    </row>
    <row r="44" spans="1:23" x14ac:dyDescent="0.25">
      <c r="A44">
        <v>41</v>
      </c>
      <c r="B44">
        <v>120</v>
      </c>
      <c r="C44">
        <v>0</v>
      </c>
      <c r="D44">
        <v>-10</v>
      </c>
      <c r="E44">
        <v>-28.596</v>
      </c>
      <c r="F44">
        <v>20</v>
      </c>
      <c r="G44">
        <v>-20</v>
      </c>
      <c r="I44" s="3" cm="1">
        <f t="array" ref="I44">h_ex_td(E44,G44,101325,101325,0,0)</f>
        <v>42.579372720350214</v>
      </c>
      <c r="J44" s="2" cm="1">
        <f t="array" ref="J44">h_ex_td(E44,G44,101325,101325,0,1)</f>
        <v>34.998873934414199</v>
      </c>
      <c r="K44">
        <v>35</v>
      </c>
      <c r="L44" s="1" cm="1">
        <f t="array" ref="L44">td_ex_h(K44,G44,101325,101325,1,0)</f>
        <v>-28.595685250171826</v>
      </c>
      <c r="M44" s="3">
        <f t="shared" si="0"/>
        <v>-1.1260655858009727E-3</v>
      </c>
      <c r="N44" s="2" cm="1">
        <f t="array" ref="N44">h2exh1(K44,G44,D44,101325,101325,1)</f>
        <v>15.345822346245063</v>
      </c>
      <c r="O44">
        <v>4</v>
      </c>
      <c r="Q44">
        <v>41</v>
      </c>
      <c r="R44">
        <v>120</v>
      </c>
      <c r="S44">
        <v>0</v>
      </c>
      <c r="T44">
        <v>-10</v>
      </c>
      <c r="U44" s="1">
        <v>15.345822346245063</v>
      </c>
      <c r="V44">
        <v>20</v>
      </c>
      <c r="W44">
        <v>-20</v>
      </c>
    </row>
    <row r="45" spans="1:23" x14ac:dyDescent="0.25">
      <c r="A45">
        <v>42</v>
      </c>
      <c r="B45">
        <v>80</v>
      </c>
      <c r="C45">
        <v>0</v>
      </c>
      <c r="D45">
        <v>-10</v>
      </c>
      <c r="E45">
        <v>-33.92</v>
      </c>
      <c r="F45">
        <v>20</v>
      </c>
      <c r="G45">
        <v>-20</v>
      </c>
      <c r="I45" s="3" cm="1">
        <f t="array" ref="I45">h_ex_td(E45,G45,101325,101325,0,0)</f>
        <v>24.332058812947004</v>
      </c>
      <c r="J45" s="2" cm="1">
        <f t="array" ref="J45">h_ex_td(E45,G45,101325,101325,0,1)</f>
        <v>20.0001692028703</v>
      </c>
      <c r="K45">
        <v>20</v>
      </c>
      <c r="L45" s="1" cm="1">
        <f t="array" ref="L45">td_ex_h(K45,G45,101325,101325,1,0)</f>
        <v>-33.920076035818937</v>
      </c>
      <c r="M45" s="3">
        <f t="shared" si="0"/>
        <v>1.6920287029975611E-4</v>
      </c>
      <c r="N45" s="2" cm="1">
        <f t="array" ref="N45">h2exh1(K45,G45,D45,101325,101325,1)</f>
        <v>8.769041340711464</v>
      </c>
      <c r="O45">
        <v>4</v>
      </c>
      <c r="Q45">
        <v>42</v>
      </c>
      <c r="R45">
        <v>80</v>
      </c>
      <c r="S45">
        <v>0</v>
      </c>
      <c r="T45">
        <v>-10</v>
      </c>
      <c r="U45" s="1">
        <v>8.769041340711464</v>
      </c>
      <c r="V45">
        <v>20</v>
      </c>
      <c r="W45">
        <v>-20</v>
      </c>
    </row>
    <row r="46" spans="1:23" x14ac:dyDescent="0.25">
      <c r="A46">
        <v>43</v>
      </c>
      <c r="B46">
        <v>80</v>
      </c>
      <c r="C46">
        <v>0</v>
      </c>
      <c r="D46">
        <v>-10</v>
      </c>
      <c r="E46">
        <v>-25.991955714271032</v>
      </c>
      <c r="F46">
        <v>20</v>
      </c>
      <c r="G46">
        <v>-10</v>
      </c>
      <c r="I46" s="3" cm="1">
        <f t="array" ref="I46">h_ex_td(E46,G46,101325,101325,0,0)</f>
        <v>22.050721897820306</v>
      </c>
      <c r="J46" s="2" cm="1">
        <f t="array" ref="J46">h_ex_td(E46,G46,101325,101325,0,1)</f>
        <v>20.000002893587631</v>
      </c>
      <c r="K46">
        <v>20</v>
      </c>
      <c r="L46" s="1" cm="1">
        <f t="array" ref="L46">td_ex_h(K46,G46,101325,101325,1,0)</f>
        <v>-25.991955714271032</v>
      </c>
      <c r="M46" s="3">
        <f t="shared" si="0"/>
        <v>2.8935876308366915E-6</v>
      </c>
      <c r="N46" s="2" cm="1">
        <f t="array" ref="N46">h2exh1(K46,G46,D46,101325,101325,1)</f>
        <v>20</v>
      </c>
      <c r="O46">
        <v>5</v>
      </c>
      <c r="Q46">
        <v>43</v>
      </c>
      <c r="R46">
        <v>80</v>
      </c>
      <c r="S46">
        <v>0</v>
      </c>
      <c r="T46">
        <v>-10</v>
      </c>
      <c r="U46" s="1">
        <v>20</v>
      </c>
      <c r="V46">
        <v>20</v>
      </c>
      <c r="W46">
        <v>-10</v>
      </c>
    </row>
    <row r="47" spans="1:23" x14ac:dyDescent="0.25">
      <c r="A47">
        <v>44</v>
      </c>
      <c r="B47">
        <v>150</v>
      </c>
      <c r="C47">
        <v>0</v>
      </c>
      <c r="D47">
        <v>2</v>
      </c>
      <c r="E47" s="1">
        <v>-20.30461875353938</v>
      </c>
      <c r="F47">
        <v>20</v>
      </c>
      <c r="G47">
        <v>-10</v>
      </c>
      <c r="I47" s="3" cm="1">
        <f t="array" ref="I47">h_ex_td(E47,G47,101325,101325,0,0)</f>
        <v>38.588760408710002</v>
      </c>
      <c r="J47" s="2" cm="1">
        <f t="array" ref="J47">h_ex_td(E47,G47,101325,101325,0,1)</f>
        <v>35.000002422163298</v>
      </c>
      <c r="K47">
        <v>35</v>
      </c>
      <c r="L47" s="1" cm="1">
        <f t="array" ref="L47">td_ex_h(K47,G47,101325,101325,1,0)</f>
        <v>-20.30461875353938</v>
      </c>
      <c r="M47" s="3">
        <f t="shared" si="0"/>
        <v>2.4221632983767449E-6</v>
      </c>
      <c r="N47" s="2" cm="1">
        <f t="array" ref="N47">h2exh1(K47,G47,D47,101325,101325,1)</f>
        <v>14.207355989584874</v>
      </c>
      <c r="O47">
        <v>5</v>
      </c>
      <c r="Q47">
        <v>44</v>
      </c>
      <c r="R47">
        <v>150</v>
      </c>
      <c r="S47">
        <v>0</v>
      </c>
      <c r="T47">
        <v>2</v>
      </c>
      <c r="U47" s="1">
        <v>14.207355989584874</v>
      </c>
      <c r="V47">
        <v>20</v>
      </c>
      <c r="W47">
        <v>-10</v>
      </c>
    </row>
    <row r="48" spans="1:23" x14ac:dyDescent="0.25">
      <c r="A48">
        <v>45</v>
      </c>
      <c r="B48">
        <v>180</v>
      </c>
      <c r="C48">
        <v>0</v>
      </c>
      <c r="D48">
        <v>-8</v>
      </c>
      <c r="E48" s="1">
        <v>-16.540944360641994</v>
      </c>
      <c r="F48">
        <v>20</v>
      </c>
      <c r="G48">
        <v>-10</v>
      </c>
      <c r="I48" s="3" cm="1">
        <f t="array" ref="I48">h_ex_td(E48,G48,101325,101325,0,0)</f>
        <v>55.126798692018696</v>
      </c>
      <c r="J48" s="2" cm="1">
        <f t="array" ref="J48">h_ex_td(E48,G48,101325,101325,0,1)</f>
        <v>50.000001744323008</v>
      </c>
      <c r="K48">
        <v>50</v>
      </c>
      <c r="L48" s="1" cm="1">
        <f t="array" ref="L48">td_ex_h(K48,G48,101325,101325,1,0)</f>
        <v>-16.540944360641994</v>
      </c>
      <c r="M48" s="3">
        <f t="shared" si="0"/>
        <v>1.7443230078129091E-6</v>
      </c>
      <c r="N48" s="2" cm="1">
        <f t="array" ref="N48">h2exh1(K48,G48,D48,101325,101325,1)</f>
        <v>42.752017400403822</v>
      </c>
      <c r="O48">
        <v>5</v>
      </c>
      <c r="Q48">
        <v>45</v>
      </c>
      <c r="R48">
        <v>180</v>
      </c>
      <c r="S48">
        <v>0</v>
      </c>
      <c r="T48">
        <v>-8</v>
      </c>
      <c r="U48" s="1">
        <v>42.752017400403822</v>
      </c>
      <c r="V48">
        <v>20</v>
      </c>
      <c r="W48">
        <v>-10</v>
      </c>
    </row>
    <row r="49" spans="1:23" x14ac:dyDescent="0.25">
      <c r="A49">
        <v>46</v>
      </c>
      <c r="B49">
        <v>80</v>
      </c>
      <c r="C49">
        <v>0</v>
      </c>
      <c r="D49">
        <v>-8</v>
      </c>
      <c r="E49" s="1">
        <v>-13.699956403974353</v>
      </c>
      <c r="F49">
        <v>20</v>
      </c>
      <c r="G49">
        <v>-10</v>
      </c>
      <c r="I49" s="3" cm="1">
        <f t="array" ref="I49">h_ex_td(E49,G49,101325,101325,0,0)</f>
        <v>71.664837033166052</v>
      </c>
      <c r="J49" s="2" cm="1">
        <f t="array" ref="J49">h_ex_td(E49,G49,101325,101325,0,1)</f>
        <v>65.000001118942379</v>
      </c>
      <c r="K49">
        <v>65</v>
      </c>
      <c r="L49" s="1" cm="1">
        <f t="array" ref="L49">td_ex_h(K49,G49,101325,101325,1,0)</f>
        <v>-13.699956403974353</v>
      </c>
      <c r="M49" s="3">
        <f t="shared" si="0"/>
        <v>1.118942378752763E-6</v>
      </c>
      <c r="N49" s="2" cm="1">
        <f t="array" ref="N49">h2exh1(K49,G49,D49,101325,101325,1)</f>
        <v>55.577622620524963</v>
      </c>
      <c r="O49">
        <v>5</v>
      </c>
      <c r="Q49">
        <v>46</v>
      </c>
      <c r="R49">
        <v>80</v>
      </c>
      <c r="S49">
        <v>0</v>
      </c>
      <c r="T49">
        <v>-8</v>
      </c>
      <c r="U49" s="1">
        <v>55.577622620524963</v>
      </c>
      <c r="V49">
        <v>20</v>
      </c>
      <c r="W49">
        <v>-10</v>
      </c>
    </row>
    <row r="50" spans="1:23" x14ac:dyDescent="0.25">
      <c r="A50">
        <v>47</v>
      </c>
      <c r="B50">
        <v>180</v>
      </c>
      <c r="C50">
        <v>0</v>
      </c>
      <c r="D50">
        <v>2</v>
      </c>
      <c r="E50" s="1">
        <v>-11.406424444112638</v>
      </c>
      <c r="F50">
        <v>20</v>
      </c>
      <c r="G50">
        <v>-10</v>
      </c>
      <c r="I50" s="3" cm="1">
        <f t="array" ref="I50">h_ex_td(E50,G50,101325,101325,0,0)</f>
        <v>88.202875514673138</v>
      </c>
      <c r="J50" s="2" cm="1">
        <f t="array" ref="J50">h_ex_td(E50,G50,101325,101325,0,1)</f>
        <v>80.000000620868022</v>
      </c>
      <c r="K50">
        <v>95</v>
      </c>
      <c r="L50" s="1" cm="1">
        <f t="array" ref="L50">td_ex_h(K50,G50,101325,101325,1,0)</f>
        <v>-9.4772024167849995</v>
      </c>
      <c r="M50" s="3">
        <f t="shared" si="0"/>
        <v>-14.999999379131978</v>
      </c>
      <c r="N50" s="2" cm="1">
        <f t="array" ref="N50">h2exh1(K50,G50,D50,101325,101325,1)</f>
        <v>38.562823400301802</v>
      </c>
      <c r="O50">
        <v>5</v>
      </c>
      <c r="Q50">
        <v>47</v>
      </c>
      <c r="R50">
        <v>180</v>
      </c>
      <c r="S50">
        <v>0</v>
      </c>
      <c r="T50">
        <v>2</v>
      </c>
      <c r="U50" s="1">
        <v>32.473956547622571</v>
      </c>
      <c r="V50">
        <v>20</v>
      </c>
      <c r="W50">
        <v>-10</v>
      </c>
    </row>
    <row r="51" spans="1:23" x14ac:dyDescent="0.25">
      <c r="A51">
        <v>48</v>
      </c>
      <c r="B51">
        <v>80</v>
      </c>
      <c r="C51">
        <v>0</v>
      </c>
      <c r="D51">
        <v>2</v>
      </c>
      <c r="E51" s="1">
        <v>-13.699956403974353</v>
      </c>
      <c r="F51">
        <v>20</v>
      </c>
      <c r="G51">
        <v>-10</v>
      </c>
      <c r="I51" s="3" cm="1">
        <f t="array" ref="I51">h_ex_td(E51,G51,101325,101325,0,0)</f>
        <v>71.664837033166052</v>
      </c>
      <c r="J51" s="2" cm="1">
        <f t="array" ref="J51">h_ex_td(E51,G51,101325,101325,0,1)</f>
        <v>65.000001118942379</v>
      </c>
      <c r="K51">
        <v>65</v>
      </c>
      <c r="L51" s="1" cm="1">
        <f t="array" ref="L51">td_ex_h(K51,G51,101325,101325,1,0)</f>
        <v>-13.699956403974353</v>
      </c>
      <c r="M51" s="3">
        <f t="shared" si="0"/>
        <v>1.118942378752763E-6</v>
      </c>
      <c r="N51" s="2" cm="1">
        <f t="array" ref="N51">h2exh1(K51,G51,D51,101325,101325,1)</f>
        <v>26.385089694943332</v>
      </c>
      <c r="O51">
        <v>5</v>
      </c>
      <c r="Q51">
        <v>48</v>
      </c>
      <c r="R51">
        <v>80</v>
      </c>
      <c r="S51">
        <v>0</v>
      </c>
      <c r="T51">
        <v>2</v>
      </c>
      <c r="U51" s="1">
        <v>26.385089694943332</v>
      </c>
      <c r="V51">
        <v>20</v>
      </c>
      <c r="W51">
        <v>-10</v>
      </c>
    </row>
    <row r="52" spans="1:23" x14ac:dyDescent="0.25">
      <c r="A52">
        <v>49</v>
      </c>
      <c r="B52">
        <v>80</v>
      </c>
      <c r="C52">
        <v>0</v>
      </c>
      <c r="D52">
        <v>2</v>
      </c>
      <c r="E52" s="1">
        <v>-16.540944360641994</v>
      </c>
      <c r="F52">
        <v>20</v>
      </c>
      <c r="G52">
        <v>-10</v>
      </c>
      <c r="I52" s="3" cm="1">
        <f t="array" ref="I52">h_ex_td(E52,G52,101325,101325,0,0)</f>
        <v>55.126798692018696</v>
      </c>
      <c r="J52" s="2" cm="1">
        <f t="array" ref="J52">h_ex_td(E52,G52,101325,101325,0,1)</f>
        <v>50.000001744323008</v>
      </c>
      <c r="K52">
        <v>50</v>
      </c>
      <c r="L52" s="1" cm="1">
        <f t="array" ref="L52">td_ex_h(K52,G52,101325,101325,1,0)</f>
        <v>-16.540944360641994</v>
      </c>
      <c r="M52" s="3">
        <f t="shared" si="0"/>
        <v>1.7443230078129091E-6</v>
      </c>
      <c r="N52" s="2" cm="1">
        <f t="array" ref="N52">h2exh1(K52,G52,D52,101325,101325,1)</f>
        <v>20.296222842264104</v>
      </c>
      <c r="O52">
        <v>5</v>
      </c>
      <c r="Q52">
        <v>49</v>
      </c>
      <c r="R52">
        <v>80</v>
      </c>
      <c r="S52">
        <v>0</v>
      </c>
      <c r="T52">
        <v>2</v>
      </c>
      <c r="U52" s="1">
        <v>20.296222842264104</v>
      </c>
      <c r="V52">
        <v>20</v>
      </c>
      <c r="W52">
        <v>-10</v>
      </c>
    </row>
    <row r="53" spans="1:23" x14ac:dyDescent="0.25">
      <c r="A53">
        <v>50</v>
      </c>
      <c r="B53">
        <v>80</v>
      </c>
      <c r="C53">
        <v>0</v>
      </c>
      <c r="D53">
        <v>2</v>
      </c>
      <c r="E53" s="1">
        <v>-20.30461875353938</v>
      </c>
      <c r="F53">
        <v>10</v>
      </c>
      <c r="G53">
        <v>-10</v>
      </c>
      <c r="I53" s="3" cm="1">
        <f t="array" ref="I53">h_ex_td(E53,G53,101325,101325,0,0)</f>
        <v>38.588760408710002</v>
      </c>
      <c r="J53" s="2" cm="1">
        <f t="array" ref="J53">h_ex_td(E53,G53,101325,101325,0,1)</f>
        <v>35.000002422163298</v>
      </c>
      <c r="K53">
        <v>35</v>
      </c>
      <c r="L53" s="1" cm="1">
        <f t="array" ref="L53">td_ex_h(K53,G53,101325,101325,1,0)</f>
        <v>-20.30461875353938</v>
      </c>
      <c r="M53" s="3">
        <f t="shared" si="0"/>
        <v>2.4221632983767449E-6</v>
      </c>
      <c r="N53" s="2" cm="1">
        <f t="array" ref="N53">h2exh1(K53,G53,D53,101325,101325,1)</f>
        <v>14.207355989584874</v>
      </c>
      <c r="O53">
        <v>5</v>
      </c>
      <c r="Q53">
        <v>50</v>
      </c>
      <c r="R53">
        <v>80</v>
      </c>
      <c r="S53">
        <v>0</v>
      </c>
      <c r="T53">
        <v>2</v>
      </c>
      <c r="U53" s="1">
        <v>14.207355989584874</v>
      </c>
      <c r="V53">
        <v>10</v>
      </c>
      <c r="W53">
        <v>-10</v>
      </c>
    </row>
    <row r="54" spans="1:23" x14ac:dyDescent="0.25">
      <c r="A54">
        <v>51</v>
      </c>
      <c r="B54">
        <v>80</v>
      </c>
      <c r="C54">
        <v>0</v>
      </c>
      <c r="D54">
        <v>2</v>
      </c>
      <c r="E54" s="1">
        <v>-25.991955714271032</v>
      </c>
      <c r="F54">
        <v>20</v>
      </c>
      <c r="G54">
        <v>-10</v>
      </c>
      <c r="I54" s="3" cm="1">
        <f t="array" ref="I54">h_ex_td(E54,G54,101325,101325,0,0)</f>
        <v>22.050721897820306</v>
      </c>
      <c r="J54" s="2" cm="1">
        <f t="array" ref="J54">h_ex_td(E54,G54,101325,101325,0,1)</f>
        <v>20.000002893587631</v>
      </c>
      <c r="K54">
        <v>20</v>
      </c>
      <c r="L54" s="1" cm="1">
        <f t="array" ref="L54">td_ex_h(K54,G54,101325,101325,1,0)</f>
        <v>-25.991955714271032</v>
      </c>
      <c r="M54" s="3">
        <f t="shared" si="0"/>
        <v>2.8935876308366915E-6</v>
      </c>
      <c r="N54" s="2" cm="1">
        <f t="array" ref="N54">h2exh1(K54,G54,D54,101325,101325,1)</f>
        <v>8.1184891369056427</v>
      </c>
      <c r="O54">
        <v>5</v>
      </c>
      <c r="Q54">
        <v>51</v>
      </c>
      <c r="R54">
        <v>80</v>
      </c>
      <c r="S54">
        <v>0</v>
      </c>
      <c r="T54">
        <v>2</v>
      </c>
      <c r="U54" s="1">
        <v>8.1184891369056427</v>
      </c>
      <c r="V54">
        <v>20</v>
      </c>
      <c r="W54">
        <v>-10</v>
      </c>
    </row>
    <row r="55" spans="1:23" x14ac:dyDescent="0.25">
      <c r="A55">
        <v>52</v>
      </c>
      <c r="B55">
        <v>80</v>
      </c>
      <c r="C55">
        <v>0</v>
      </c>
      <c r="D55">
        <v>2</v>
      </c>
      <c r="E55">
        <v>-18.230600735851418</v>
      </c>
      <c r="F55">
        <v>20</v>
      </c>
      <c r="G55">
        <v>0</v>
      </c>
      <c r="I55" s="3" cm="1">
        <f t="array" ref="I55">h_ex_td(E55,G55,101325,101325,0,0)</f>
        <v>20.001937035420127</v>
      </c>
      <c r="J55" s="2" cm="1">
        <f t="array" ref="J55">h_ex_td(E55,G55,101325,101325,0,1)</f>
        <v>20.000000974572821</v>
      </c>
      <c r="K55">
        <v>20</v>
      </c>
      <c r="L55" s="1" cm="1">
        <f t="array" ref="L55">td_ex_h(K55,G55,101325,101325,1,0)</f>
        <v>-18.230600735851418</v>
      </c>
      <c r="M55" s="3">
        <f t="shared" si="0"/>
        <v>9.7457282066670814E-7</v>
      </c>
      <c r="N55" s="2" cm="1">
        <f t="array" ref="N55">h2exh1(K55,G55,D55,101325,101325,1)</f>
        <v>17.315728983223917</v>
      </c>
      <c r="O55">
        <v>6</v>
      </c>
      <c r="Q55">
        <v>52</v>
      </c>
      <c r="R55">
        <v>80</v>
      </c>
      <c r="S55">
        <v>0</v>
      </c>
      <c r="T55">
        <v>2</v>
      </c>
      <c r="U55" s="1">
        <v>17.315728983223917</v>
      </c>
      <c r="V55">
        <v>20</v>
      </c>
      <c r="W55">
        <v>-10</v>
      </c>
    </row>
    <row r="56" spans="1:23" x14ac:dyDescent="0.25">
      <c r="A56">
        <v>53</v>
      </c>
      <c r="B56">
        <v>80</v>
      </c>
      <c r="C56">
        <v>0</v>
      </c>
      <c r="D56">
        <v>2</v>
      </c>
      <c r="E56">
        <v>-12.175378906092927</v>
      </c>
      <c r="F56">
        <v>20</v>
      </c>
      <c r="G56">
        <v>0</v>
      </c>
      <c r="I56" s="3" cm="1">
        <f t="array" ref="I56">h_ex_td(E56,G56,101325,101325,0,0)</f>
        <v>35.003388473130812</v>
      </c>
      <c r="J56" s="2" cm="1">
        <f t="array" ref="J56">h_ex_td(E56,G56,101325,101325,0,1)</f>
        <v>35.00000036677762</v>
      </c>
      <c r="K56">
        <v>35</v>
      </c>
      <c r="L56" s="1" cm="1">
        <f t="array" ref="L56">td_ex_h(K56,G56,101325,101325,1,0)</f>
        <v>-12.175378906092927</v>
      </c>
      <c r="M56" s="3">
        <f t="shared" si="0"/>
        <v>3.6677761983128221E-7</v>
      </c>
      <c r="N56" s="2" cm="1">
        <f t="array" ref="N56">h2exh1(K56,G56,D56,101325,101325,1)</f>
        <v>30.302525720641853</v>
      </c>
      <c r="O56">
        <v>6</v>
      </c>
      <c r="Q56">
        <v>53</v>
      </c>
      <c r="R56">
        <v>80</v>
      </c>
      <c r="S56">
        <v>0</v>
      </c>
      <c r="T56">
        <v>2</v>
      </c>
      <c r="U56" s="1">
        <v>30.302525720641853</v>
      </c>
      <c r="V56">
        <v>20</v>
      </c>
      <c r="W56">
        <v>-10</v>
      </c>
    </row>
    <row r="57" spans="1:23" x14ac:dyDescent="0.25">
      <c r="A57">
        <v>54</v>
      </c>
      <c r="B57">
        <v>180</v>
      </c>
      <c r="C57">
        <v>0</v>
      </c>
      <c r="D57">
        <v>-8</v>
      </c>
      <c r="E57">
        <v>-8.1631128878586061</v>
      </c>
      <c r="F57">
        <v>20</v>
      </c>
      <c r="G57">
        <v>0</v>
      </c>
      <c r="I57" s="3" cm="1">
        <f t="array" ref="I57">h_ex_td(E57,G57,101325,101325,0,0)</f>
        <v>50.004840188476152</v>
      </c>
      <c r="J57" s="2" cm="1">
        <f t="array" ref="J57">h_ex_td(E57,G57,101325,101325,0,1)</f>
        <v>50.000000036590194</v>
      </c>
      <c r="K57">
        <v>50</v>
      </c>
      <c r="L57" s="1" cm="1">
        <f t="array" ref="L57">td_ex_h(K57,G57,101325,101325,1,0)</f>
        <v>-8.1631128878586061</v>
      </c>
      <c r="M57" s="3">
        <f t="shared" si="0"/>
        <v>3.659019398583041E-8</v>
      </c>
      <c r="N57" s="2" cm="1">
        <f t="array" ref="N57">h2exh1(K57,G57,D57,101325,101325,1)</f>
        <v>91.18474315944259</v>
      </c>
      <c r="O57">
        <v>6</v>
      </c>
      <c r="Q57">
        <v>54</v>
      </c>
      <c r="R57">
        <v>180</v>
      </c>
      <c r="S57">
        <v>0</v>
      </c>
      <c r="T57">
        <v>-8</v>
      </c>
      <c r="U57" s="1">
        <v>91.18474315944259</v>
      </c>
      <c r="V57">
        <v>20</v>
      </c>
      <c r="W57">
        <v>-10</v>
      </c>
    </row>
    <row r="58" spans="1:23" x14ac:dyDescent="0.25">
      <c r="A58">
        <v>55</v>
      </c>
      <c r="B58">
        <v>80</v>
      </c>
      <c r="C58">
        <v>0</v>
      </c>
      <c r="D58">
        <v>-8</v>
      </c>
      <c r="E58">
        <v>-5.1317493713567792</v>
      </c>
      <c r="F58">
        <v>20</v>
      </c>
      <c r="G58">
        <v>0</v>
      </c>
      <c r="I58" s="3" cm="1">
        <f t="array" ref="I58">h_ex_td(E58,G58,101325,101325,0,0)</f>
        <v>65.00629219744738</v>
      </c>
      <c r="J58" s="2" cm="1">
        <f t="array" ref="J58">h_ex_td(E58,G58,101325,101325,0,1)</f>
        <v>65.000000000000242</v>
      </c>
      <c r="K58">
        <v>65</v>
      </c>
      <c r="L58" s="1" cm="1">
        <f t="array" ref="L58">td_ex_h(K58,G58,101325,101325,1,0)</f>
        <v>-5.1317493713567792</v>
      </c>
      <c r="M58" s="3">
        <f t="shared" si="0"/>
        <v>2.4158453015843406E-13</v>
      </c>
      <c r="N58" s="2" cm="1">
        <f t="array" ref="N58">h2exh1(K58,G58,D58,101325,101325,1)</f>
        <v>118.54016610727534</v>
      </c>
      <c r="O58">
        <v>6</v>
      </c>
      <c r="Q58">
        <v>55</v>
      </c>
      <c r="R58">
        <v>80</v>
      </c>
      <c r="S58">
        <v>0</v>
      </c>
      <c r="T58">
        <v>-8</v>
      </c>
      <c r="U58" s="1">
        <v>118.54016610727534</v>
      </c>
      <c r="V58">
        <v>20</v>
      </c>
      <c r="W58">
        <v>-10</v>
      </c>
    </row>
    <row r="59" spans="1:23" x14ac:dyDescent="0.25">
      <c r="A59">
        <v>56</v>
      </c>
      <c r="B59">
        <v>180</v>
      </c>
      <c r="C59">
        <v>0</v>
      </c>
      <c r="D59">
        <v>2</v>
      </c>
      <c r="E59">
        <v>-2.6828073289003922</v>
      </c>
      <c r="F59">
        <v>20</v>
      </c>
      <c r="G59">
        <v>0</v>
      </c>
      <c r="I59" s="3" cm="1">
        <f t="array" ref="I59">h_ex_td(E59,G59,101325,101325,0,0)</f>
        <v>80.007744243012553</v>
      </c>
      <c r="J59" s="2" cm="1">
        <f t="array" ref="J59">h_ex_td(E59,G59,101325,101325,0,1)</f>
        <v>80.000000000000696</v>
      </c>
      <c r="K59">
        <v>80</v>
      </c>
      <c r="L59" s="1" cm="1">
        <f t="array" ref="L59">td_ex_h(K59,G59,101325,101325,1,0)</f>
        <v>-2.6828073289003922</v>
      </c>
      <c r="M59" s="3">
        <f t="shared" si="0"/>
        <v>6.9633188104489818E-13</v>
      </c>
      <c r="N59" s="2" cm="1">
        <f t="array" ref="N59">h2exh1(K59,G59,D59,101325,101325,1)</f>
        <v>69.262915932895666</v>
      </c>
      <c r="O59">
        <v>6</v>
      </c>
      <c r="Q59">
        <v>56</v>
      </c>
      <c r="R59">
        <v>180</v>
      </c>
      <c r="S59">
        <v>0</v>
      </c>
      <c r="T59">
        <v>2</v>
      </c>
      <c r="U59" s="1">
        <v>69.262915932895666</v>
      </c>
      <c r="V59">
        <v>20</v>
      </c>
      <c r="W59">
        <v>0</v>
      </c>
    </row>
    <row r="60" spans="1:23" x14ac:dyDescent="0.25">
      <c r="A60">
        <v>57</v>
      </c>
      <c r="B60">
        <v>80</v>
      </c>
      <c r="C60">
        <v>0</v>
      </c>
      <c r="D60">
        <v>2</v>
      </c>
      <c r="E60">
        <v>-0.62166675272670369</v>
      </c>
      <c r="F60">
        <v>20</v>
      </c>
      <c r="G60">
        <v>0</v>
      </c>
      <c r="I60" s="3" cm="1">
        <f t="array" ref="I60">h_ex_td(E60,G60,101325,101325,0,0)</f>
        <v>95.009196288573477</v>
      </c>
      <c r="J60" s="2" cm="1">
        <f t="array" ref="J60">h_ex_td(E60,G60,101325,101325,0,1)</f>
        <v>94.999999999996902</v>
      </c>
      <c r="K60">
        <v>95</v>
      </c>
      <c r="L60" s="1" cm="1">
        <f t="array" ref="L60">td_ex_h(K60,G60,101325,101325,1,0)</f>
        <v>-0.62166675272670369</v>
      </c>
      <c r="M60" s="3">
        <f t="shared" si="0"/>
        <v>-3.0979663279140368E-12</v>
      </c>
      <c r="N60" s="2" cm="1">
        <f t="array" ref="N60">h2exh1(K60,G60,D60,101325,101325,1)</f>
        <v>82.249712670313627</v>
      </c>
      <c r="O60">
        <v>6</v>
      </c>
      <c r="Q60">
        <v>57</v>
      </c>
      <c r="R60">
        <v>80</v>
      </c>
      <c r="S60">
        <v>0</v>
      </c>
      <c r="T60">
        <v>2</v>
      </c>
      <c r="U60" s="1">
        <v>56.276119195477726</v>
      </c>
      <c r="V60">
        <v>20</v>
      </c>
      <c r="W60">
        <v>0</v>
      </c>
    </row>
    <row r="61" spans="1:23" x14ac:dyDescent="0.25">
      <c r="A61">
        <v>58</v>
      </c>
      <c r="B61">
        <v>80</v>
      </c>
      <c r="C61">
        <v>0</v>
      </c>
      <c r="D61">
        <v>2</v>
      </c>
      <c r="E61">
        <v>-2.6828073289003922</v>
      </c>
      <c r="F61">
        <v>20</v>
      </c>
      <c r="G61">
        <v>0</v>
      </c>
      <c r="I61" s="3" cm="1">
        <f t="array" ref="I61">h_ex_td(E61,G61,101325,101325,0,0)</f>
        <v>80.007744243012553</v>
      </c>
      <c r="J61" s="2" cm="1">
        <f t="array" ref="J61">h_ex_td(E61,G61,101325,101325,0,1)</f>
        <v>80.000000000000696</v>
      </c>
      <c r="K61">
        <v>80</v>
      </c>
      <c r="L61" s="1" cm="1">
        <f t="array" ref="L61">td_ex_h(K61,G61,101325,101325,1,0)</f>
        <v>-2.6828073289003922</v>
      </c>
      <c r="M61" s="3">
        <f t="shared" si="0"/>
        <v>6.9633188104489818E-13</v>
      </c>
      <c r="N61" s="2" cm="1">
        <f t="array" ref="N61">h2exh1(K61,G61,D61,101325,101325,1)</f>
        <v>69.262915932895666</v>
      </c>
      <c r="O61">
        <v>6</v>
      </c>
      <c r="Q61">
        <v>58</v>
      </c>
      <c r="R61">
        <v>80</v>
      </c>
      <c r="S61">
        <v>0</v>
      </c>
      <c r="T61">
        <v>2</v>
      </c>
      <c r="U61" s="1">
        <v>43.2893224580598</v>
      </c>
      <c r="V61">
        <v>20</v>
      </c>
      <c r="W61">
        <v>0</v>
      </c>
    </row>
    <row r="62" spans="1:23" x14ac:dyDescent="0.25">
      <c r="A62">
        <v>59</v>
      </c>
      <c r="B62">
        <v>80</v>
      </c>
      <c r="C62">
        <v>0</v>
      </c>
      <c r="D62">
        <v>2</v>
      </c>
      <c r="E62">
        <v>-5.1317493713567792</v>
      </c>
      <c r="F62">
        <v>20</v>
      </c>
      <c r="G62">
        <v>0</v>
      </c>
      <c r="I62" s="3" cm="1">
        <f t="array" ref="I62">h_ex_td(E62,G62,101325,101325,0,0)</f>
        <v>65.00629219744738</v>
      </c>
      <c r="J62" s="2" cm="1">
        <f t="array" ref="J62">h_ex_td(E62,G62,101325,101325,0,1)</f>
        <v>65.000000000000242</v>
      </c>
      <c r="K62">
        <v>65</v>
      </c>
      <c r="L62" s="1" cm="1">
        <f t="array" ref="L62">td_ex_h(K62,G62,101325,101325,1,0)</f>
        <v>-5.1317493713567792</v>
      </c>
      <c r="M62" s="3">
        <f t="shared" si="0"/>
        <v>2.4158453015843406E-13</v>
      </c>
      <c r="N62" s="2" cm="1">
        <f t="array" ref="N62">h2exh1(K62,G62,D62,101325,101325,1)</f>
        <v>56.276119195477726</v>
      </c>
      <c r="O62">
        <v>6</v>
      </c>
      <c r="Q62">
        <v>59</v>
      </c>
      <c r="R62">
        <v>80</v>
      </c>
      <c r="S62">
        <v>0</v>
      </c>
      <c r="T62">
        <v>2</v>
      </c>
      <c r="U62" s="1">
        <v>30.302525720641853</v>
      </c>
      <c r="V62">
        <v>20</v>
      </c>
      <c r="W62">
        <v>0</v>
      </c>
    </row>
    <row r="63" spans="1:23" x14ac:dyDescent="0.25">
      <c r="A63">
        <v>60</v>
      </c>
      <c r="B63">
        <v>80</v>
      </c>
      <c r="C63">
        <v>0</v>
      </c>
      <c r="D63">
        <v>2</v>
      </c>
      <c r="E63">
        <v>-8.1631128878586061</v>
      </c>
      <c r="F63">
        <v>20</v>
      </c>
      <c r="G63">
        <v>0</v>
      </c>
      <c r="I63" s="3" cm="1">
        <f t="array" ref="I63">h_ex_td(E63,G63,101325,101325,0,0)</f>
        <v>50.004840188476152</v>
      </c>
      <c r="J63" s="2" cm="1">
        <f t="array" ref="J63">h_ex_td(E63,G63,101325,101325,0,1)</f>
        <v>50.000000036590194</v>
      </c>
      <c r="K63">
        <v>50</v>
      </c>
      <c r="L63" s="1" cm="1">
        <f t="array" ref="L63">td_ex_h(K63,G63,101325,101325,1,0)</f>
        <v>-8.1631128878586061</v>
      </c>
      <c r="M63" s="3">
        <f t="shared" si="0"/>
        <v>3.659019398583041E-8</v>
      </c>
      <c r="N63" s="2" cm="1">
        <f t="array" ref="N63">h2exh1(K63,G63,D63,101325,101325,1)</f>
        <v>43.2893224580598</v>
      </c>
      <c r="O63">
        <v>6</v>
      </c>
      <c r="Q63">
        <v>60</v>
      </c>
      <c r="R63">
        <v>80</v>
      </c>
      <c r="S63">
        <v>0</v>
      </c>
      <c r="T63">
        <v>2</v>
      </c>
      <c r="U63" s="1">
        <v>17.315728983223917</v>
      </c>
      <c r="V63">
        <v>20</v>
      </c>
      <c r="W63">
        <v>0</v>
      </c>
    </row>
    <row r="64" spans="1:23" x14ac:dyDescent="0.25">
      <c r="A64">
        <v>61</v>
      </c>
      <c r="B64">
        <v>120</v>
      </c>
      <c r="C64">
        <v>0</v>
      </c>
      <c r="D64">
        <v>2</v>
      </c>
      <c r="E64">
        <v>-12.175378906092927</v>
      </c>
      <c r="F64">
        <v>10</v>
      </c>
      <c r="G64">
        <v>0</v>
      </c>
      <c r="I64" s="3" cm="1">
        <f t="array" ref="I64">h_ex_td(E64,G64,101325,101325,0,0)</f>
        <v>35.003388473130812</v>
      </c>
      <c r="J64" s="2" cm="1">
        <f t="array" ref="J64">h_ex_td(E64,G64,101325,101325,0,1)</f>
        <v>35.00000036677762</v>
      </c>
      <c r="K64">
        <v>35</v>
      </c>
      <c r="L64" s="1" cm="1">
        <f t="array" ref="L64">td_ex_h(K64,G64,101325,101325,1,0)</f>
        <v>-12.175378906092927</v>
      </c>
      <c r="M64" s="3">
        <f t="shared" si="0"/>
        <v>3.6677761983128221E-7</v>
      </c>
      <c r="N64" s="2" cm="1">
        <f t="array" ref="N64">h2exh1(K64,G64,D64,101325,101325,1)</f>
        <v>30.302525720641853</v>
      </c>
      <c r="O64">
        <v>6</v>
      </c>
      <c r="Q64">
        <v>61</v>
      </c>
      <c r="R64">
        <v>120</v>
      </c>
      <c r="S64">
        <v>0</v>
      </c>
      <c r="T64">
        <v>2</v>
      </c>
      <c r="U64">
        <v>-0.622</v>
      </c>
      <c r="V64">
        <v>10</v>
      </c>
      <c r="W64">
        <v>0</v>
      </c>
    </row>
    <row r="65" spans="1:23" x14ac:dyDescent="0.25">
      <c r="A65">
        <v>62</v>
      </c>
      <c r="B65">
        <v>80</v>
      </c>
      <c r="C65">
        <v>0</v>
      </c>
      <c r="D65">
        <v>2</v>
      </c>
      <c r="E65">
        <v>-18.230600735851418</v>
      </c>
      <c r="F65">
        <v>20</v>
      </c>
      <c r="G65">
        <v>0</v>
      </c>
      <c r="I65" s="3" cm="1">
        <f t="array" ref="I65">h_ex_td(E65,G65,101325,101325,0,0)</f>
        <v>20.001937035420127</v>
      </c>
      <c r="J65" s="2" cm="1">
        <f t="array" ref="J65">h_ex_td(E65,G65,101325,101325,0,1)</f>
        <v>20.000000974572821</v>
      </c>
      <c r="K65">
        <v>20</v>
      </c>
      <c r="L65" s="1" cm="1">
        <f t="array" ref="L65">td_ex_h(K65,G65,101325,101325,1,0)</f>
        <v>-18.230600735851418</v>
      </c>
      <c r="M65" s="3">
        <f t="shared" si="0"/>
        <v>9.7457282066670814E-7</v>
      </c>
      <c r="N65" s="2" cm="1">
        <f t="array" ref="N65">h2exh1(K65,G65,D65,101325,101325,1)</f>
        <v>17.315728983223917</v>
      </c>
      <c r="O65">
        <v>6</v>
      </c>
      <c r="Q65">
        <v>62</v>
      </c>
      <c r="R65">
        <v>80</v>
      </c>
      <c r="S65">
        <v>0</v>
      </c>
      <c r="T65">
        <v>2</v>
      </c>
      <c r="U65">
        <v>-2.6829999999999998</v>
      </c>
      <c r="V65">
        <v>20</v>
      </c>
      <c r="W65">
        <v>0</v>
      </c>
    </row>
    <row r="66" spans="1:23" x14ac:dyDescent="0.25">
      <c r="I66" s="3" cm="1">
        <f t="array" ref="I66">h_ex_td(E66,G66,101325,101325,0,0)</f>
        <v>100</v>
      </c>
      <c r="J66" s="2" cm="1">
        <f t="array" ref="J66">h_ex_td(E66,G66,101325,101325,0,1)</f>
        <v>99.990320633227284</v>
      </c>
      <c r="Q66">
        <v>63</v>
      </c>
      <c r="R66">
        <v>80</v>
      </c>
      <c r="S66">
        <v>0</v>
      </c>
      <c r="T66">
        <v>2</v>
      </c>
      <c r="U66">
        <v>-5.1319999999999997</v>
      </c>
      <c r="V66">
        <v>20</v>
      </c>
      <c r="W66">
        <v>0</v>
      </c>
    </row>
    <row r="67" spans="1:23" x14ac:dyDescent="0.25">
      <c r="I67" s="3" cm="1">
        <f t="array" ref="I67">h_ex_td(E67,G67,101325,101325,0,0)</f>
        <v>100</v>
      </c>
      <c r="J67" s="2" cm="1">
        <f t="array" ref="J67">h_ex_td(E67,G67,101325,101325,0,1)</f>
        <v>99.990320633227284</v>
      </c>
      <c r="Q67">
        <v>64</v>
      </c>
      <c r="R67">
        <v>80</v>
      </c>
      <c r="S67">
        <v>0</v>
      </c>
      <c r="T67">
        <v>2</v>
      </c>
      <c r="U67">
        <v>-8.1630000000000003</v>
      </c>
      <c r="V67">
        <v>20</v>
      </c>
      <c r="W67">
        <v>0</v>
      </c>
    </row>
    <row r="68" spans="1:23" x14ac:dyDescent="0.25">
      <c r="I68" s="3" cm="1">
        <f t="array" ref="I68">h_ex_td(E68,G68,101325,101325,0,0)</f>
        <v>100</v>
      </c>
      <c r="J68" s="2" cm="1">
        <f t="array" ref="J68">h_ex_td(E68,G68,101325,101325,0,1)</f>
        <v>99.990320633227284</v>
      </c>
      <c r="Q68">
        <v>65</v>
      </c>
      <c r="R68">
        <v>80</v>
      </c>
      <c r="S68">
        <v>0</v>
      </c>
      <c r="T68">
        <v>2</v>
      </c>
      <c r="U68">
        <v>-12.175000000000001</v>
      </c>
      <c r="V68">
        <v>20</v>
      </c>
      <c r="W68">
        <v>0</v>
      </c>
    </row>
    <row r="69" spans="1:23" x14ac:dyDescent="0.25">
      <c r="I69" s="3" cm="1">
        <f t="array" ref="I69">h_ex_td(E69,G69,101325,101325,0,0)</f>
        <v>100</v>
      </c>
      <c r="J69" s="2" cm="1">
        <f t="array" ref="J69">h_ex_td(E69,G69,101325,101325,0,1)</f>
        <v>99.990320633227284</v>
      </c>
      <c r="Q69">
        <v>66</v>
      </c>
      <c r="R69">
        <v>80</v>
      </c>
      <c r="S69">
        <v>0</v>
      </c>
      <c r="T69">
        <v>2</v>
      </c>
      <c r="U69">
        <v>-18.231000000000002</v>
      </c>
      <c r="V69">
        <v>20</v>
      </c>
      <c r="W69">
        <v>0</v>
      </c>
    </row>
    <row r="70" spans="1:23" x14ac:dyDescent="0.25">
      <c r="I70" s="3" cm="1">
        <f t="array" ref="I70">h_ex_td(E70,G70,101325,101325,0,0)</f>
        <v>100</v>
      </c>
      <c r="J70" s="2" cm="1">
        <f t="array" ref="J70">h_ex_td(E70,G70,101325,101325,0,1)</f>
        <v>99.990320633227284</v>
      </c>
      <c r="Q70">
        <v>67</v>
      </c>
      <c r="R70">
        <v>180</v>
      </c>
      <c r="S70">
        <v>0</v>
      </c>
      <c r="T70">
        <v>22</v>
      </c>
      <c r="U70">
        <v>-3.206</v>
      </c>
      <c r="V70">
        <v>20</v>
      </c>
      <c r="W70">
        <v>20</v>
      </c>
    </row>
    <row r="71" spans="1:23" x14ac:dyDescent="0.25">
      <c r="I71" s="3" cm="1">
        <f t="array" ref="I71">h_ex_td(E71,G71,101325,101325,0,0)</f>
        <v>100</v>
      </c>
      <c r="J71" s="2" cm="1">
        <f t="array" ref="J71">h_ex_td(E71,G71,101325,101325,0,1)</f>
        <v>99.990320633227284</v>
      </c>
      <c r="Q71">
        <v>68</v>
      </c>
      <c r="R71">
        <v>80</v>
      </c>
      <c r="S71">
        <v>0</v>
      </c>
      <c r="T71">
        <v>22</v>
      </c>
      <c r="U71">
        <v>4.093</v>
      </c>
      <c r="V71">
        <v>20</v>
      </c>
      <c r="W71">
        <v>20</v>
      </c>
    </row>
    <row r="72" spans="1:23" x14ac:dyDescent="0.25">
      <c r="I72" s="3" cm="1">
        <f t="array" ref="I72">h_ex_td(E72,G72,101325,101325,0,0)</f>
        <v>100</v>
      </c>
      <c r="J72" s="2" cm="1">
        <f t="array" ref="J72">h_ex_td(E72,G72,101325,101325,0,1)</f>
        <v>99.990320633227284</v>
      </c>
      <c r="Q72">
        <v>69</v>
      </c>
      <c r="R72">
        <v>80</v>
      </c>
      <c r="S72">
        <v>0</v>
      </c>
      <c r="T72">
        <v>22</v>
      </c>
      <c r="U72">
        <v>9.2750000000000004</v>
      </c>
      <c r="V72">
        <v>20</v>
      </c>
      <c r="W72">
        <v>20</v>
      </c>
    </row>
    <row r="73" spans="1:23" x14ac:dyDescent="0.25">
      <c r="J73" s="2" cm="1">
        <f t="array" ref="J73">h_ex_td(E73,G73,101325,101325,0,1)</f>
        <v>99.990320633227284</v>
      </c>
      <c r="Q73">
        <v>70</v>
      </c>
      <c r="R73">
        <v>80</v>
      </c>
      <c r="S73">
        <v>0</v>
      </c>
      <c r="T73">
        <v>22</v>
      </c>
      <c r="U73">
        <v>13.228999999999999</v>
      </c>
      <c r="V73">
        <v>20</v>
      </c>
      <c r="W73">
        <v>20</v>
      </c>
    </row>
    <row r="74" spans="1:23" x14ac:dyDescent="0.25">
      <c r="J74" s="2" cm="1">
        <f t="array" ref="J74">h_ex_td(E74,G74,101325,101325,0,1)</f>
        <v>99.990320633227284</v>
      </c>
      <c r="Q74">
        <v>71</v>
      </c>
      <c r="R74">
        <v>80</v>
      </c>
      <c r="S74">
        <v>0</v>
      </c>
      <c r="T74">
        <v>22</v>
      </c>
      <c r="U74">
        <v>16.448</v>
      </c>
      <c r="V74">
        <v>20</v>
      </c>
      <c r="W74">
        <v>20</v>
      </c>
    </row>
    <row r="75" spans="1:23" x14ac:dyDescent="0.25">
      <c r="J75" s="2" cm="1">
        <f t="array" ref="J75">h_ex_td(E75,G75,101325,101325,0,1)</f>
        <v>99.990320633227284</v>
      </c>
      <c r="Q75">
        <v>72</v>
      </c>
      <c r="R75">
        <v>90</v>
      </c>
      <c r="S75">
        <v>0</v>
      </c>
      <c r="T75">
        <v>22</v>
      </c>
      <c r="U75">
        <v>19.175000000000001</v>
      </c>
      <c r="V75">
        <v>10</v>
      </c>
      <c r="W75">
        <v>20</v>
      </c>
    </row>
    <row r="76" spans="1:23" x14ac:dyDescent="0.25">
      <c r="J76" s="2" cm="1">
        <f t="array" ref="J76">h_ex_td(E76,G76,101325,101325,0,1)</f>
        <v>99.990320633227284</v>
      </c>
      <c r="Q76">
        <v>73</v>
      </c>
      <c r="R76">
        <v>80</v>
      </c>
      <c r="S76">
        <v>0</v>
      </c>
      <c r="T76">
        <v>22</v>
      </c>
      <c r="U76">
        <v>16.448</v>
      </c>
      <c r="V76">
        <v>20</v>
      </c>
      <c r="W76">
        <v>20</v>
      </c>
    </row>
    <row r="77" spans="1:23" x14ac:dyDescent="0.25">
      <c r="J77" s="2" cm="1">
        <f t="array" ref="J77">h_ex_td(E77,G77,101325,101325,0,1)</f>
        <v>99.990320633227284</v>
      </c>
      <c r="Q77">
        <v>74</v>
      </c>
      <c r="R77">
        <v>80</v>
      </c>
      <c r="S77">
        <v>0</v>
      </c>
      <c r="T77">
        <v>22</v>
      </c>
      <c r="U77">
        <v>13.228999999999999</v>
      </c>
      <c r="V77">
        <v>20</v>
      </c>
      <c r="W77">
        <v>20</v>
      </c>
    </row>
    <row r="78" spans="1:23" x14ac:dyDescent="0.25">
      <c r="J78" s="2" cm="1">
        <f t="array" ref="J78">h_ex_td(E78,G78,101325,101325,0,1)</f>
        <v>99.990320633227284</v>
      </c>
      <c r="Q78">
        <v>75</v>
      </c>
      <c r="R78">
        <v>80</v>
      </c>
      <c r="S78">
        <v>0</v>
      </c>
      <c r="T78">
        <v>22</v>
      </c>
      <c r="U78">
        <v>9.2750000000000004</v>
      </c>
      <c r="V78">
        <v>20</v>
      </c>
      <c r="W78">
        <v>20</v>
      </c>
    </row>
    <row r="79" spans="1:23" x14ac:dyDescent="0.25">
      <c r="J79" s="2" cm="1">
        <f t="array" ref="J79">h_ex_td(E79,G79,101325,101325,0,1)</f>
        <v>99.990320633227284</v>
      </c>
      <c r="Q79">
        <v>76</v>
      </c>
      <c r="R79">
        <v>80</v>
      </c>
      <c r="S79">
        <v>0</v>
      </c>
      <c r="T79">
        <v>22</v>
      </c>
      <c r="U79">
        <v>4.093</v>
      </c>
      <c r="V79">
        <v>20</v>
      </c>
      <c r="W79">
        <v>20</v>
      </c>
    </row>
    <row r="80" spans="1:23" x14ac:dyDescent="0.25">
      <c r="J80" s="2" cm="1">
        <f t="array" ref="J80">h_ex_td(E80,G80,101325,101325,0,1)</f>
        <v>99.990320633227284</v>
      </c>
      <c r="Q80">
        <v>77</v>
      </c>
      <c r="R80">
        <v>80</v>
      </c>
      <c r="S80">
        <v>0</v>
      </c>
      <c r="T80">
        <v>22</v>
      </c>
      <c r="U80">
        <v>-3.206</v>
      </c>
      <c r="V80">
        <v>20</v>
      </c>
      <c r="W80">
        <v>20</v>
      </c>
    </row>
    <row r="81" spans="10:23" x14ac:dyDescent="0.25">
      <c r="J81" s="2" cm="1">
        <f t="array" ref="J81">h_ex_td(E81,G81,101325,101325,0,1)</f>
        <v>99.990320633227284</v>
      </c>
      <c r="Q81">
        <v>78</v>
      </c>
      <c r="R81">
        <v>180</v>
      </c>
      <c r="S81">
        <v>0</v>
      </c>
      <c r="T81">
        <v>42</v>
      </c>
      <c r="U81">
        <v>12.797000000000001</v>
      </c>
      <c r="V81">
        <v>20</v>
      </c>
      <c r="W81">
        <v>40</v>
      </c>
    </row>
    <row r="82" spans="10:23" x14ac:dyDescent="0.25">
      <c r="J82" s="2" cm="1">
        <f t="array" ref="J82">h_ex_td(E82,G82,101325,101325,0,1)</f>
        <v>99.990320633227284</v>
      </c>
      <c r="Q82">
        <v>79</v>
      </c>
      <c r="R82">
        <v>80</v>
      </c>
      <c r="S82">
        <v>0</v>
      </c>
      <c r="T82">
        <v>42</v>
      </c>
      <c r="U82">
        <v>21.632000000000001</v>
      </c>
      <c r="V82">
        <v>20</v>
      </c>
      <c r="W82">
        <v>40</v>
      </c>
    </row>
    <row r="83" spans="10:23" x14ac:dyDescent="0.25">
      <c r="J83" s="2" cm="1">
        <f t="array" ref="J83">h_ex_td(E83,G83,101325,101325,0,1)</f>
        <v>99.990320633227284</v>
      </c>
      <c r="Q83">
        <v>80</v>
      </c>
      <c r="R83">
        <v>80</v>
      </c>
      <c r="S83">
        <v>0</v>
      </c>
      <c r="T83">
        <v>42</v>
      </c>
      <c r="U83">
        <v>27.594000000000001</v>
      </c>
      <c r="V83">
        <v>20</v>
      </c>
      <c r="W83">
        <v>40</v>
      </c>
    </row>
    <row r="84" spans="10:23" x14ac:dyDescent="0.25">
      <c r="J84" s="2" cm="1">
        <f t="array" ref="J84">h_ex_td(E84,G84,101325,101325,0,1)</f>
        <v>99.990320633227284</v>
      </c>
      <c r="Q84">
        <v>81</v>
      </c>
      <c r="R84">
        <v>80</v>
      </c>
      <c r="S84">
        <v>0</v>
      </c>
      <c r="T84">
        <v>42</v>
      </c>
      <c r="U84">
        <v>32.156999999999996</v>
      </c>
      <c r="V84">
        <v>20</v>
      </c>
      <c r="W84">
        <v>40</v>
      </c>
    </row>
    <row r="85" spans="10:23" x14ac:dyDescent="0.25">
      <c r="J85" s="2" cm="1">
        <f t="array" ref="J85">h_ex_td(E85,G85,101325,101325,0,1)</f>
        <v>99.990320633227284</v>
      </c>
      <c r="Q85">
        <v>82</v>
      </c>
      <c r="R85">
        <v>80</v>
      </c>
      <c r="S85">
        <v>0</v>
      </c>
      <c r="T85">
        <v>42</v>
      </c>
      <c r="U85">
        <v>35.881</v>
      </c>
      <c r="V85">
        <v>20</v>
      </c>
      <c r="W85">
        <v>40</v>
      </c>
    </row>
    <row r="86" spans="10:23" x14ac:dyDescent="0.25">
      <c r="J86" s="2" cm="1">
        <f t="array" ref="J86">h_ex_td(E86,G86,101325,101325,0,1)</f>
        <v>99.990320633227284</v>
      </c>
      <c r="Q86">
        <v>83</v>
      </c>
      <c r="R86">
        <v>90</v>
      </c>
      <c r="S86">
        <v>0</v>
      </c>
      <c r="T86">
        <v>42</v>
      </c>
      <c r="U86">
        <v>39.042000000000002</v>
      </c>
      <c r="V86">
        <v>10</v>
      </c>
      <c r="W86">
        <v>40</v>
      </c>
    </row>
    <row r="87" spans="10:23" x14ac:dyDescent="0.25">
      <c r="J87" s="2" cm="1">
        <f t="array" ref="J87">h_ex_td(E87,G87,101325,101325,0,1)</f>
        <v>99.990320633227284</v>
      </c>
      <c r="Q87">
        <v>84</v>
      </c>
      <c r="R87">
        <v>80</v>
      </c>
      <c r="S87">
        <v>0</v>
      </c>
      <c r="T87">
        <v>42</v>
      </c>
      <c r="U87">
        <v>35.881</v>
      </c>
      <c r="V87">
        <v>20</v>
      </c>
      <c r="W87">
        <v>40</v>
      </c>
    </row>
    <row r="88" spans="10:23" x14ac:dyDescent="0.25">
      <c r="J88" s="2" cm="1">
        <f t="array" ref="J88">h_ex_td(E88,G88,101325,101325,0,1)</f>
        <v>99.990320633227284</v>
      </c>
      <c r="Q88">
        <v>85</v>
      </c>
      <c r="R88">
        <v>80</v>
      </c>
      <c r="S88">
        <v>0</v>
      </c>
      <c r="T88">
        <v>42</v>
      </c>
      <c r="U88">
        <v>32.156999999999996</v>
      </c>
      <c r="V88">
        <v>20</v>
      </c>
      <c r="W88">
        <v>40</v>
      </c>
    </row>
    <row r="89" spans="10:23" x14ac:dyDescent="0.25">
      <c r="J89" s="2" cm="1">
        <f t="array" ref="J89">h_ex_td(E89,G89,101325,101325,0,1)</f>
        <v>99.990320633227284</v>
      </c>
      <c r="Q89">
        <v>86</v>
      </c>
      <c r="R89">
        <v>80</v>
      </c>
      <c r="S89">
        <v>0</v>
      </c>
      <c r="T89">
        <v>42</v>
      </c>
      <c r="U89">
        <v>27.594000000000001</v>
      </c>
      <c r="V89">
        <v>20</v>
      </c>
      <c r="W89">
        <v>40</v>
      </c>
    </row>
    <row r="90" spans="10:23" x14ac:dyDescent="0.25">
      <c r="J90" s="2" cm="1">
        <f t="array" ref="J90">h_ex_td(E90,G90,101325,101325,0,1)</f>
        <v>99.990320633227284</v>
      </c>
      <c r="Q90">
        <v>87</v>
      </c>
      <c r="R90">
        <v>80</v>
      </c>
      <c r="S90">
        <v>0</v>
      </c>
      <c r="T90">
        <v>42</v>
      </c>
      <c r="U90">
        <v>21.632000000000001</v>
      </c>
      <c r="V90">
        <v>20</v>
      </c>
      <c r="W90">
        <v>40</v>
      </c>
    </row>
    <row r="91" spans="10:23" x14ac:dyDescent="0.25">
      <c r="J91" s="2" cm="1">
        <f t="array" ref="J91">h_ex_td(E91,G91,101325,101325,0,1)</f>
        <v>99.990320633227284</v>
      </c>
      <c r="Q91">
        <v>88</v>
      </c>
      <c r="R91">
        <v>80</v>
      </c>
      <c r="S91">
        <v>0</v>
      </c>
      <c r="T91">
        <v>42</v>
      </c>
      <c r="U91">
        <v>12.797000000000001</v>
      </c>
      <c r="V91">
        <v>20</v>
      </c>
      <c r="W91">
        <v>40</v>
      </c>
    </row>
    <row r="92" spans="10:23" x14ac:dyDescent="0.25">
      <c r="J92" s="2" cm="1">
        <f t="array" ref="J92">h_ex_td(E92,G92,101325,101325,0,1)</f>
        <v>99.990320633227284</v>
      </c>
      <c r="Q92">
        <v>89</v>
      </c>
      <c r="R92">
        <v>180</v>
      </c>
      <c r="S92">
        <v>0</v>
      </c>
      <c r="T92">
        <v>62</v>
      </c>
      <c r="U92">
        <v>28.940999999999999</v>
      </c>
      <c r="V92">
        <v>20</v>
      </c>
      <c r="W92">
        <v>60</v>
      </c>
    </row>
    <row r="93" spans="10:23" x14ac:dyDescent="0.25">
      <c r="J93" s="2" cm="1">
        <f t="array" ref="J93">h_ex_td(E93,G93,101325,101325,0,1)</f>
        <v>99.990320633227284</v>
      </c>
      <c r="Q93">
        <v>90</v>
      </c>
      <c r="R93">
        <v>80</v>
      </c>
      <c r="S93">
        <v>0</v>
      </c>
      <c r="T93">
        <v>62</v>
      </c>
      <c r="U93">
        <v>38.970999999999997</v>
      </c>
      <c r="V93">
        <v>20</v>
      </c>
      <c r="W93">
        <v>60</v>
      </c>
    </row>
    <row r="94" spans="10:23" x14ac:dyDescent="0.25">
      <c r="J94" s="2" cm="1">
        <f t="array" ref="J94">h_ex_td(E94,G94,101325,101325,0,1)</f>
        <v>99.990320633227284</v>
      </c>
      <c r="Q94">
        <v>91</v>
      </c>
      <c r="R94">
        <v>80</v>
      </c>
      <c r="S94">
        <v>0</v>
      </c>
      <c r="T94">
        <v>62</v>
      </c>
      <c r="U94">
        <v>45.768999999999998</v>
      </c>
      <c r="V94">
        <v>20</v>
      </c>
      <c r="W94">
        <v>60</v>
      </c>
    </row>
    <row r="95" spans="10:23" x14ac:dyDescent="0.25">
      <c r="J95" s="2" cm="1">
        <f t="array" ref="J95">h_ex_td(E95,G95,101325,101325,0,1)</f>
        <v>99.990320633227284</v>
      </c>
      <c r="Q95">
        <v>92</v>
      </c>
      <c r="R95">
        <v>80</v>
      </c>
      <c r="S95">
        <v>0</v>
      </c>
      <c r="T95">
        <v>62</v>
      </c>
      <c r="U95">
        <v>50.988999999999997</v>
      </c>
      <c r="V95">
        <v>20</v>
      </c>
      <c r="W95">
        <v>60</v>
      </c>
    </row>
    <row r="96" spans="10:23" x14ac:dyDescent="0.25">
      <c r="J96" s="2" cm="1">
        <f t="array" ref="J96">h_ex_td(E96,G96,101325,101325,0,1)</f>
        <v>99.990320633227284</v>
      </c>
      <c r="Q96">
        <v>93</v>
      </c>
      <c r="R96">
        <v>80</v>
      </c>
      <c r="S96">
        <v>0</v>
      </c>
      <c r="T96">
        <v>62</v>
      </c>
      <c r="U96">
        <v>55.262</v>
      </c>
      <c r="V96">
        <v>20</v>
      </c>
      <c r="W96">
        <v>60</v>
      </c>
    </row>
    <row r="97" spans="10:23" x14ac:dyDescent="0.25">
      <c r="J97" s="2" cm="1">
        <f t="array" ref="J97">h_ex_td(E97,G97,101325,101325,0,1)</f>
        <v>99.990320633227284</v>
      </c>
      <c r="Q97">
        <v>94</v>
      </c>
      <c r="R97">
        <v>90</v>
      </c>
      <c r="S97">
        <v>0</v>
      </c>
      <c r="T97">
        <v>62</v>
      </c>
      <c r="U97">
        <v>58.896999999999998</v>
      </c>
      <c r="V97">
        <v>10</v>
      </c>
      <c r="W97">
        <v>60</v>
      </c>
    </row>
    <row r="98" spans="10:23" x14ac:dyDescent="0.25">
      <c r="J98" s="2" cm="1">
        <f t="array" ref="J98">h_ex_td(E98,G98,101325,101325,0,1)</f>
        <v>99.990320633227284</v>
      </c>
      <c r="Q98">
        <v>95</v>
      </c>
      <c r="R98">
        <v>80</v>
      </c>
      <c r="S98">
        <v>0</v>
      </c>
      <c r="T98">
        <v>62</v>
      </c>
      <c r="U98">
        <v>55.262</v>
      </c>
      <c r="V98">
        <v>20</v>
      </c>
      <c r="W98">
        <v>60</v>
      </c>
    </row>
    <row r="99" spans="10:23" x14ac:dyDescent="0.25">
      <c r="J99" s="2" cm="1">
        <f t="array" ref="J99">h_ex_td(E99,G99,101325,101325,0,1)</f>
        <v>99.990320633227284</v>
      </c>
      <c r="Q99">
        <v>96</v>
      </c>
      <c r="R99">
        <v>80</v>
      </c>
      <c r="S99">
        <v>0</v>
      </c>
      <c r="T99">
        <v>62</v>
      </c>
      <c r="U99">
        <v>50.988999999999997</v>
      </c>
      <c r="V99">
        <v>20</v>
      </c>
      <c r="W99">
        <v>60</v>
      </c>
    </row>
    <row r="100" spans="10:23" x14ac:dyDescent="0.25">
      <c r="J100" s="2" cm="1">
        <f t="array" ref="J100">h_ex_td(E100,G100,101325,101325,0,1)</f>
        <v>99.990320633227284</v>
      </c>
      <c r="Q100">
        <v>97</v>
      </c>
      <c r="R100">
        <v>80</v>
      </c>
      <c r="S100">
        <v>0</v>
      </c>
      <c r="T100">
        <v>62</v>
      </c>
      <c r="U100">
        <v>45.768999999999998</v>
      </c>
      <c r="V100">
        <v>20</v>
      </c>
      <c r="W100">
        <v>60</v>
      </c>
    </row>
    <row r="101" spans="10:23" x14ac:dyDescent="0.25">
      <c r="Q101">
        <v>98</v>
      </c>
      <c r="R101">
        <v>80</v>
      </c>
      <c r="S101">
        <v>0</v>
      </c>
      <c r="T101">
        <v>62</v>
      </c>
      <c r="U101">
        <v>38.970999999999997</v>
      </c>
      <c r="V101">
        <v>20</v>
      </c>
      <c r="W101">
        <v>60</v>
      </c>
    </row>
    <row r="102" spans="10:23" x14ac:dyDescent="0.25">
      <c r="Q102">
        <v>99</v>
      </c>
      <c r="R102">
        <v>80</v>
      </c>
      <c r="S102">
        <v>0</v>
      </c>
      <c r="T102">
        <v>62</v>
      </c>
      <c r="U102">
        <v>28.940999999999999</v>
      </c>
      <c r="V102">
        <v>20</v>
      </c>
      <c r="W102">
        <v>60</v>
      </c>
    </row>
    <row r="103" spans="10:23" x14ac:dyDescent="0.25">
      <c r="Q103">
        <v>100</v>
      </c>
      <c r="R103">
        <v>300</v>
      </c>
      <c r="S103">
        <v>0</v>
      </c>
      <c r="T103">
        <v>42</v>
      </c>
      <c r="U103">
        <v>12.797000000000001</v>
      </c>
      <c r="V103">
        <v>20</v>
      </c>
      <c r="W103">
        <v>40</v>
      </c>
    </row>
    <row r="104" spans="10:23" x14ac:dyDescent="0.25">
      <c r="Q104">
        <v>101</v>
      </c>
      <c r="R104">
        <v>80</v>
      </c>
      <c r="S104">
        <v>0</v>
      </c>
      <c r="T104">
        <v>42</v>
      </c>
      <c r="U104">
        <v>21.632000000000001</v>
      </c>
      <c r="V104">
        <v>20</v>
      </c>
      <c r="W104">
        <v>40</v>
      </c>
    </row>
    <row r="105" spans="10:23" x14ac:dyDescent="0.25">
      <c r="Q105">
        <v>102</v>
      </c>
      <c r="R105">
        <v>80</v>
      </c>
      <c r="S105">
        <v>0</v>
      </c>
      <c r="T105">
        <v>42</v>
      </c>
      <c r="U105">
        <v>27.594000000000001</v>
      </c>
      <c r="V105">
        <v>20</v>
      </c>
      <c r="W105">
        <v>40</v>
      </c>
    </row>
    <row r="106" spans="10:23" x14ac:dyDescent="0.25">
      <c r="Q106">
        <v>103</v>
      </c>
      <c r="R106">
        <v>80</v>
      </c>
      <c r="S106">
        <v>0</v>
      </c>
      <c r="T106">
        <v>42</v>
      </c>
      <c r="U106">
        <v>32.156999999999996</v>
      </c>
      <c r="V106">
        <v>20</v>
      </c>
      <c r="W106">
        <v>40</v>
      </c>
    </row>
    <row r="107" spans="10:23" x14ac:dyDescent="0.25">
      <c r="Q107">
        <v>104</v>
      </c>
      <c r="R107">
        <v>80</v>
      </c>
      <c r="S107">
        <v>0</v>
      </c>
      <c r="T107">
        <v>42</v>
      </c>
      <c r="U107">
        <v>35.881</v>
      </c>
      <c r="V107">
        <v>20</v>
      </c>
      <c r="W107">
        <v>40</v>
      </c>
    </row>
    <row r="108" spans="10:23" x14ac:dyDescent="0.25">
      <c r="Q108">
        <v>105</v>
      </c>
      <c r="R108">
        <v>90</v>
      </c>
      <c r="S108">
        <v>0</v>
      </c>
      <c r="T108">
        <v>42</v>
      </c>
      <c r="U108">
        <v>39.042000000000002</v>
      </c>
      <c r="V108">
        <v>10</v>
      </c>
      <c r="W108">
        <v>40</v>
      </c>
    </row>
    <row r="109" spans="10:23" x14ac:dyDescent="0.25">
      <c r="Q109">
        <v>106</v>
      </c>
      <c r="R109">
        <v>80</v>
      </c>
      <c r="S109">
        <v>0</v>
      </c>
      <c r="T109">
        <v>42</v>
      </c>
      <c r="U109">
        <v>35.881</v>
      </c>
      <c r="V109">
        <v>20</v>
      </c>
      <c r="W109">
        <v>40</v>
      </c>
    </row>
    <row r="110" spans="10:23" x14ac:dyDescent="0.25">
      <c r="Q110">
        <v>107</v>
      </c>
      <c r="R110">
        <v>80</v>
      </c>
      <c r="S110">
        <v>0</v>
      </c>
      <c r="T110">
        <v>42</v>
      </c>
      <c r="U110">
        <v>32.156999999999996</v>
      </c>
      <c r="V110">
        <v>20</v>
      </c>
      <c r="W110">
        <v>40</v>
      </c>
    </row>
    <row r="111" spans="10:23" x14ac:dyDescent="0.25">
      <c r="Q111">
        <v>108</v>
      </c>
      <c r="R111">
        <v>80</v>
      </c>
      <c r="S111">
        <v>0</v>
      </c>
      <c r="T111">
        <v>42</v>
      </c>
      <c r="U111">
        <v>27.594000000000001</v>
      </c>
      <c r="V111">
        <v>20</v>
      </c>
      <c r="W111">
        <v>40</v>
      </c>
    </row>
    <row r="112" spans="10:23" x14ac:dyDescent="0.25">
      <c r="Q112">
        <v>109</v>
      </c>
      <c r="R112">
        <v>80</v>
      </c>
      <c r="S112">
        <v>0</v>
      </c>
      <c r="T112">
        <v>42</v>
      </c>
      <c r="U112">
        <v>21.632000000000001</v>
      </c>
      <c r="V112">
        <v>20</v>
      </c>
      <c r="W112">
        <v>40</v>
      </c>
    </row>
    <row r="113" spans="17:23" x14ac:dyDescent="0.25">
      <c r="Q113">
        <v>110</v>
      </c>
      <c r="R113">
        <v>80</v>
      </c>
      <c r="S113">
        <v>0</v>
      </c>
      <c r="T113">
        <v>42</v>
      </c>
      <c r="U113">
        <v>12.797000000000001</v>
      </c>
      <c r="V113">
        <v>20</v>
      </c>
      <c r="W113">
        <v>40</v>
      </c>
    </row>
    <row r="114" spans="17:23" x14ac:dyDescent="0.25">
      <c r="Q114">
        <v>111</v>
      </c>
      <c r="R114">
        <v>300</v>
      </c>
      <c r="S114">
        <v>0</v>
      </c>
      <c r="T114">
        <v>22</v>
      </c>
      <c r="U114">
        <v>-3.206</v>
      </c>
      <c r="V114">
        <v>20</v>
      </c>
      <c r="W114">
        <v>20</v>
      </c>
    </row>
    <row r="115" spans="17:23" x14ac:dyDescent="0.25">
      <c r="Q115">
        <v>112</v>
      </c>
      <c r="R115">
        <v>80</v>
      </c>
      <c r="S115">
        <v>0</v>
      </c>
      <c r="T115">
        <v>22</v>
      </c>
      <c r="U115">
        <v>4.093</v>
      </c>
      <c r="V115">
        <v>20</v>
      </c>
      <c r="W115">
        <v>20</v>
      </c>
    </row>
    <row r="116" spans="17:23" x14ac:dyDescent="0.25">
      <c r="Q116">
        <v>113</v>
      </c>
      <c r="R116">
        <v>80</v>
      </c>
      <c r="S116">
        <v>0</v>
      </c>
      <c r="T116">
        <v>22</v>
      </c>
      <c r="U116">
        <v>9.2750000000000004</v>
      </c>
      <c r="V116">
        <v>20</v>
      </c>
      <c r="W116">
        <v>20</v>
      </c>
    </row>
    <row r="117" spans="17:23" x14ac:dyDescent="0.25">
      <c r="Q117">
        <v>114</v>
      </c>
      <c r="R117">
        <v>80</v>
      </c>
      <c r="S117">
        <v>0</v>
      </c>
      <c r="T117">
        <v>22</v>
      </c>
      <c r="U117">
        <v>13.228999999999999</v>
      </c>
      <c r="V117">
        <v>20</v>
      </c>
      <c r="W117">
        <v>20</v>
      </c>
    </row>
    <row r="118" spans="17:23" x14ac:dyDescent="0.25">
      <c r="Q118">
        <v>115</v>
      </c>
      <c r="R118">
        <v>80</v>
      </c>
      <c r="S118">
        <v>0</v>
      </c>
      <c r="T118">
        <v>22</v>
      </c>
      <c r="U118">
        <v>16.448</v>
      </c>
      <c r="V118">
        <v>20</v>
      </c>
      <c r="W118">
        <v>20</v>
      </c>
    </row>
    <row r="119" spans="17:23" x14ac:dyDescent="0.25">
      <c r="Q119">
        <v>116</v>
      </c>
      <c r="R119">
        <v>90</v>
      </c>
      <c r="S119">
        <v>0</v>
      </c>
      <c r="T119">
        <v>22</v>
      </c>
      <c r="U119">
        <v>19.175000000000001</v>
      </c>
      <c r="V119">
        <v>10</v>
      </c>
      <c r="W119">
        <v>20</v>
      </c>
    </row>
    <row r="120" spans="17:23" x14ac:dyDescent="0.25">
      <c r="Q120">
        <v>117</v>
      </c>
      <c r="R120">
        <v>80</v>
      </c>
      <c r="S120">
        <v>0</v>
      </c>
      <c r="T120">
        <v>22</v>
      </c>
      <c r="U120">
        <v>16.448</v>
      </c>
      <c r="V120">
        <v>20</v>
      </c>
      <c r="W120">
        <v>20</v>
      </c>
    </row>
    <row r="121" spans="17:23" x14ac:dyDescent="0.25">
      <c r="Q121">
        <v>118</v>
      </c>
      <c r="R121">
        <v>80</v>
      </c>
      <c r="S121">
        <v>0</v>
      </c>
      <c r="T121">
        <v>22</v>
      </c>
      <c r="U121">
        <v>13.228999999999999</v>
      </c>
      <c r="V121">
        <v>20</v>
      </c>
      <c r="W121">
        <v>20</v>
      </c>
    </row>
    <row r="122" spans="17:23" x14ac:dyDescent="0.25">
      <c r="Q122">
        <v>119</v>
      </c>
      <c r="R122">
        <v>80</v>
      </c>
      <c r="S122">
        <v>0</v>
      </c>
      <c r="T122">
        <v>22</v>
      </c>
      <c r="U122">
        <v>9.2750000000000004</v>
      </c>
      <c r="V122">
        <v>20</v>
      </c>
      <c r="W122">
        <v>20</v>
      </c>
    </row>
    <row r="123" spans="17:23" x14ac:dyDescent="0.25">
      <c r="Q123">
        <v>120</v>
      </c>
      <c r="R123">
        <v>80</v>
      </c>
      <c r="S123">
        <v>0</v>
      </c>
      <c r="T123">
        <v>22</v>
      </c>
      <c r="U123">
        <v>4.093</v>
      </c>
      <c r="V123">
        <v>20</v>
      </c>
      <c r="W123">
        <v>20</v>
      </c>
    </row>
    <row r="124" spans="17:23" x14ac:dyDescent="0.25">
      <c r="Q124">
        <v>121</v>
      </c>
      <c r="R124">
        <v>80</v>
      </c>
      <c r="S124">
        <v>0</v>
      </c>
      <c r="T124">
        <v>22</v>
      </c>
      <c r="U124">
        <v>-3.206</v>
      </c>
      <c r="V124">
        <v>20</v>
      </c>
      <c r="W124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aH96140261_MI70_biotec_K3650019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Stefaan Janssens</cp:lastModifiedBy>
  <dcterms:created xsi:type="dcterms:W3CDTF">2024-10-30T07:54:56Z</dcterms:created>
  <dcterms:modified xsi:type="dcterms:W3CDTF">2024-10-30T09:24:29Z</dcterms:modified>
</cp:coreProperties>
</file>